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\Documents\Sync\IIT\Research Papers\MECC 2026\repo\docker\src\"/>
    </mc:Choice>
  </mc:AlternateContent>
  <xr:revisionPtr revIDLastSave="0" documentId="13_ncr:1_{2FBBD5A7-7CCF-4B55-AA33-FECB92EBE436}" xr6:coauthVersionLast="47" xr6:coauthVersionMax="47" xr10:uidLastSave="{00000000-0000-0000-0000-000000000000}"/>
  <bookViews>
    <workbookView xWindow="-120" yWindow="-120" windowWidth="51840" windowHeight="21120" xr2:uid="{0A151A32-934F-4762-939F-B462AE23ACAB}"/>
  </bookViews>
  <sheets>
    <sheet name="ipopt_output" sheetId="5" r:id="rId1"/>
    <sheet name="averages" sheetId="2" r:id="rId2"/>
    <sheet name="std. dev" sheetId="3" r:id="rId3"/>
    <sheet name="csv" sheetId="7" r:id="rId4"/>
  </sheets>
  <definedNames>
    <definedName name="CSVPath">csv!$A$2</definedName>
    <definedName name="ExternalData_1" localSheetId="0" hidden="1">ipopt_output!$A$1:$T$121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 a="1"/>
  <c r="A2" i="7" s="1"/>
  <c r="U2" i="2"/>
  <c r="Q2" i="3" s="1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A1" i="3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A1" i="2"/>
  <c r="U3" i="2" l="1" a="1"/>
  <c r="U3" i="2" s="1"/>
  <c r="B2" i="3" a="1"/>
  <c r="B2" i="3" s="1"/>
  <c r="A2" i="3" a="1"/>
  <c r="A2" i="3" s="1"/>
  <c r="F2" i="2"/>
  <c r="E2" i="2"/>
  <c r="D2" i="2"/>
  <c r="T2" i="3"/>
  <c r="S2" i="3"/>
  <c r="C2" i="2"/>
  <c r="R2" i="3"/>
  <c r="E2" i="3"/>
  <c r="F2" i="3"/>
  <c r="K2" i="2"/>
  <c r="J2" i="3"/>
  <c r="M2" i="3"/>
  <c r="P2" i="3"/>
  <c r="G2" i="3"/>
  <c r="L2" i="2"/>
  <c r="M2" i="2"/>
  <c r="I2" i="3"/>
  <c r="N2" i="2"/>
  <c r="R2" i="2"/>
  <c r="B2" i="2" a="1"/>
  <c r="B2" i="2" s="1"/>
  <c r="H2" i="3"/>
  <c r="O2" i="2"/>
  <c r="K2" i="3"/>
  <c r="P2" i="2"/>
  <c r="L2" i="3"/>
  <c r="Q2" i="2"/>
  <c r="T2" i="2"/>
  <c r="N2" i="3"/>
  <c r="S2" i="2"/>
  <c r="A2" i="2" a="1"/>
  <c r="A2" i="2" s="1"/>
  <c r="O2" i="3"/>
  <c r="C2" i="3"/>
  <c r="G2" i="2"/>
  <c r="H2" i="2"/>
  <c r="U4" i="2" a="1"/>
  <c r="U4" i="2" s="1"/>
  <c r="D2" i="3"/>
  <c r="I2" i="2"/>
  <c r="J2" i="2"/>
  <c r="D4" i="3" l="1"/>
  <c r="E4" i="3"/>
  <c r="J4" i="2"/>
  <c r="T4" i="2"/>
  <c r="F4" i="3"/>
  <c r="K4" i="2"/>
  <c r="H4" i="3"/>
  <c r="M4" i="2"/>
  <c r="I4" i="3"/>
  <c r="L4" i="3"/>
  <c r="Q4" i="2"/>
  <c r="S4" i="2"/>
  <c r="G4" i="3"/>
  <c r="L4" i="2"/>
  <c r="N4" i="2"/>
  <c r="J4" i="3"/>
  <c r="O4" i="2"/>
  <c r="K4" i="3"/>
  <c r="P4" i="2"/>
  <c r="O4" i="3"/>
  <c r="M4" i="3"/>
  <c r="R4" i="2"/>
  <c r="N4" i="3"/>
  <c r="T4" i="3"/>
  <c r="F4" i="2"/>
  <c r="A4" i="3" a="1"/>
  <c r="A4" i="3" s="1"/>
  <c r="G4" i="2"/>
  <c r="C4" i="3"/>
  <c r="B4" i="3" a="1"/>
  <c r="B4" i="3" s="1"/>
  <c r="H4" i="2"/>
  <c r="I4" i="2"/>
  <c r="A4" i="2" a="1"/>
  <c r="A4" i="2" s="1"/>
  <c r="C4" i="2"/>
  <c r="R4" i="3"/>
  <c r="P4" i="3"/>
  <c r="S4" i="3"/>
  <c r="B4" i="2" a="1"/>
  <c r="B4" i="2" s="1"/>
  <c r="Q4" i="3"/>
  <c r="D4" i="2"/>
  <c r="E4" i="2"/>
  <c r="U5" i="2" a="1"/>
  <c r="U5" i="2" s="1"/>
  <c r="G3" i="2"/>
  <c r="C3" i="3"/>
  <c r="H3" i="2"/>
  <c r="F3" i="3"/>
  <c r="K3" i="2"/>
  <c r="L3" i="2"/>
  <c r="J3" i="3"/>
  <c r="O3" i="2"/>
  <c r="D3" i="3"/>
  <c r="I3" i="2"/>
  <c r="J3" i="2"/>
  <c r="R3" i="2"/>
  <c r="E3" i="3"/>
  <c r="G3" i="3"/>
  <c r="H3" i="3"/>
  <c r="M3" i="2"/>
  <c r="N3" i="2"/>
  <c r="M3" i="3"/>
  <c r="I3" i="3"/>
  <c r="K3" i="3"/>
  <c r="P3" i="2"/>
  <c r="L3" i="3"/>
  <c r="Q3" i="2"/>
  <c r="R3" i="3"/>
  <c r="A3" i="3" a="1"/>
  <c r="A3" i="3" s="1"/>
  <c r="C3" i="2"/>
  <c r="S3" i="3"/>
  <c r="B3" i="3" a="1"/>
  <c r="B3" i="3" s="1"/>
  <c r="D3" i="2"/>
  <c r="T3" i="3"/>
  <c r="E3" i="2"/>
  <c r="F3" i="2"/>
  <c r="N3" i="3"/>
  <c r="T3" i="2"/>
  <c r="O3" i="3"/>
  <c r="P3" i="3"/>
  <c r="Q3" i="3"/>
  <c r="S3" i="2"/>
  <c r="B3" i="2" a="1"/>
  <c r="B3" i="2" s="1"/>
  <c r="A3" i="2" a="1"/>
  <c r="A3" i="2" s="1"/>
  <c r="U6" i="2" a="1"/>
  <c r="U6" i="2" s="1"/>
  <c r="H6" i="3" l="1"/>
  <c r="A6" i="3" a="1"/>
  <c r="A6" i="3" s="1"/>
  <c r="I6" i="3"/>
  <c r="B6" i="3" a="1"/>
  <c r="B6" i="3" s="1"/>
  <c r="N6" i="2"/>
  <c r="M6" i="3"/>
  <c r="C6" i="2"/>
  <c r="J6" i="3"/>
  <c r="O6" i="2"/>
  <c r="P6" i="2"/>
  <c r="L6" i="3"/>
  <c r="Q6" i="2"/>
  <c r="P6" i="3"/>
  <c r="K6" i="3"/>
  <c r="R6" i="2"/>
  <c r="S6" i="3"/>
  <c r="N6" i="3"/>
  <c r="S6" i="2"/>
  <c r="O6" i="3"/>
  <c r="T6" i="2"/>
  <c r="D6" i="2"/>
  <c r="Q6" i="3"/>
  <c r="R6" i="3"/>
  <c r="D6" i="3"/>
  <c r="E6" i="3"/>
  <c r="J6" i="2"/>
  <c r="F6" i="3"/>
  <c r="K6" i="2"/>
  <c r="B6" i="2" a="1"/>
  <c r="B6" i="2" s="1"/>
  <c r="G6" i="3"/>
  <c r="L6" i="2"/>
  <c r="M6" i="2"/>
  <c r="H6" i="2"/>
  <c r="I6" i="2"/>
  <c r="E6" i="2"/>
  <c r="F6" i="2"/>
  <c r="G6" i="2"/>
  <c r="C6" i="3"/>
  <c r="T6" i="3"/>
  <c r="A6" i="2" a="1"/>
  <c r="A6" i="2" s="1"/>
  <c r="F5" i="3"/>
  <c r="G5" i="3"/>
  <c r="L5" i="2"/>
  <c r="K5" i="3"/>
  <c r="H5" i="3"/>
  <c r="M5" i="2"/>
  <c r="N5" i="2"/>
  <c r="J5" i="3"/>
  <c r="O5" i="2"/>
  <c r="P5" i="2"/>
  <c r="Q5" i="3"/>
  <c r="I5" i="3"/>
  <c r="N5" i="3"/>
  <c r="S5" i="2"/>
  <c r="L5" i="3"/>
  <c r="Q5" i="2"/>
  <c r="M5" i="3"/>
  <c r="R5" i="2"/>
  <c r="O5" i="3"/>
  <c r="T5" i="2"/>
  <c r="P5" i="3"/>
  <c r="C5" i="3"/>
  <c r="H5" i="2"/>
  <c r="B5" i="3" a="1"/>
  <c r="B5" i="3" s="1"/>
  <c r="D5" i="3"/>
  <c r="I5" i="2"/>
  <c r="E5" i="3"/>
  <c r="A5" i="3" a="1"/>
  <c r="A5" i="3" s="1"/>
  <c r="J5" i="2"/>
  <c r="K5" i="2"/>
  <c r="E5" i="2"/>
  <c r="F5" i="2"/>
  <c r="G5" i="2"/>
  <c r="S5" i="3"/>
  <c r="B5" i="2" a="1"/>
  <c r="B5" i="2" s="1"/>
  <c r="T5" i="3"/>
  <c r="R5" i="3"/>
  <c r="A5" i="2" a="1"/>
  <c r="A5" i="2" s="1"/>
  <c r="C5" i="2"/>
  <c r="D5" i="2"/>
  <c r="U7" i="2" a="1"/>
  <c r="U7" i="2" s="1"/>
  <c r="J7" i="3" l="1"/>
  <c r="K7" i="3"/>
  <c r="A7" i="3" a="1"/>
  <c r="A7" i="3" s="1"/>
  <c r="P7" i="2"/>
  <c r="N7" i="3"/>
  <c r="C7" i="2"/>
  <c r="L7" i="3"/>
  <c r="B7" i="3" a="1"/>
  <c r="B7" i="3" s="1"/>
  <c r="Q7" i="2"/>
  <c r="R7" i="2"/>
  <c r="S7" i="2"/>
  <c r="O7" i="3"/>
  <c r="R7" i="3"/>
  <c r="M7" i="3"/>
  <c r="T7" i="2"/>
  <c r="P7" i="3"/>
  <c r="Q7" i="3"/>
  <c r="E7" i="2"/>
  <c r="S7" i="3"/>
  <c r="D7" i="2"/>
  <c r="T7" i="3"/>
  <c r="F7" i="3"/>
  <c r="G7" i="3"/>
  <c r="L7" i="2"/>
  <c r="H7" i="3"/>
  <c r="M7" i="2"/>
  <c r="A7" i="2" a="1"/>
  <c r="A7" i="2" s="1"/>
  <c r="B7" i="2" a="1"/>
  <c r="B7" i="2" s="1"/>
  <c r="I7" i="3"/>
  <c r="N7" i="2"/>
  <c r="O7" i="2"/>
  <c r="F7" i="2"/>
  <c r="K7" i="2"/>
  <c r="I7" i="2"/>
  <c r="D7" i="3"/>
  <c r="J7" i="2"/>
  <c r="C7" i="3"/>
  <c r="G7" i="2"/>
  <c r="H7" i="2"/>
  <c r="E7" i="3"/>
  <c r="U8" i="2" a="1"/>
  <c r="U8" i="2" s="1"/>
  <c r="U9" i="2" l="1" a="1"/>
  <c r="U9" i="2" s="1"/>
  <c r="L8" i="3"/>
  <c r="M8" i="3"/>
  <c r="R8" i="2"/>
  <c r="B8" i="3" a="1"/>
  <c r="B8" i="3" s="1"/>
  <c r="Q8" i="3"/>
  <c r="E8" i="2"/>
  <c r="N8" i="3"/>
  <c r="S8" i="2"/>
  <c r="T8" i="2"/>
  <c r="P8" i="3"/>
  <c r="T8" i="3"/>
  <c r="G8" i="2"/>
  <c r="O8" i="3"/>
  <c r="A8" i="3" a="1"/>
  <c r="A8" i="3" s="1"/>
  <c r="H8" i="2"/>
  <c r="R8" i="3"/>
  <c r="C8" i="2"/>
  <c r="S8" i="3"/>
  <c r="D8" i="2"/>
  <c r="F8" i="2"/>
  <c r="H8" i="3"/>
  <c r="I8" i="3"/>
  <c r="N8" i="2"/>
  <c r="J8" i="3"/>
  <c r="O8" i="2"/>
  <c r="K8" i="3"/>
  <c r="P8" i="2"/>
  <c r="Q8" i="2"/>
  <c r="B8" i="2" a="1"/>
  <c r="B8" i="2" s="1"/>
  <c r="A8" i="2" a="1"/>
  <c r="A8" i="2" s="1"/>
  <c r="C8" i="3"/>
  <c r="G8" i="3"/>
  <c r="J8" i="2"/>
  <c r="I8" i="2"/>
  <c r="L8" i="2"/>
  <c r="D8" i="3"/>
  <c r="M8" i="2"/>
  <c r="K8" i="2"/>
  <c r="E8" i="3"/>
  <c r="F8" i="3"/>
  <c r="U10" i="2" a="1"/>
  <c r="U10" i="2" s="1"/>
  <c r="U11" i="2" l="1" a="1"/>
  <c r="U11" i="2" s="1"/>
  <c r="P10" i="3"/>
  <c r="G10" i="3"/>
  <c r="Q10" i="3"/>
  <c r="B10" i="2" a="1"/>
  <c r="B10" i="2" s="1"/>
  <c r="I10" i="2"/>
  <c r="L10" i="2"/>
  <c r="R10" i="3"/>
  <c r="C10" i="2"/>
  <c r="D10" i="2"/>
  <c r="T10" i="3"/>
  <c r="E10" i="2"/>
  <c r="A10" i="2" a="1"/>
  <c r="A10" i="2" s="1"/>
  <c r="S10" i="3"/>
  <c r="F10" i="2"/>
  <c r="A10" i="3" a="1"/>
  <c r="A10" i="3" s="1"/>
  <c r="G10" i="2"/>
  <c r="C10" i="3"/>
  <c r="B10" i="3" a="1"/>
  <c r="B10" i="3" s="1"/>
  <c r="H10" i="2"/>
  <c r="D10" i="3"/>
  <c r="K10" i="2"/>
  <c r="E10" i="3"/>
  <c r="J10" i="2"/>
  <c r="F10" i="3"/>
  <c r="L10" i="3"/>
  <c r="M10" i="3"/>
  <c r="R10" i="2"/>
  <c r="N10" i="3"/>
  <c r="S10" i="2"/>
  <c r="O10" i="3"/>
  <c r="T10" i="2"/>
  <c r="H10" i="3"/>
  <c r="N10" i="2"/>
  <c r="Q10" i="2"/>
  <c r="M10" i="2"/>
  <c r="J10" i="3"/>
  <c r="P10" i="2"/>
  <c r="I10" i="3"/>
  <c r="O10" i="2"/>
  <c r="K10" i="3"/>
  <c r="O9" i="3"/>
  <c r="T9" i="2"/>
  <c r="B9" i="2" a="1"/>
  <c r="B9" i="2" s="1"/>
  <c r="R9" i="3"/>
  <c r="E9" i="3"/>
  <c r="P9" i="3"/>
  <c r="A9" i="2" a="1"/>
  <c r="A9" i="2" s="1"/>
  <c r="C9" i="2"/>
  <c r="S9" i="3"/>
  <c r="A9" i="3" a="1"/>
  <c r="A9" i="3" s="1"/>
  <c r="I9" i="2"/>
  <c r="Q9" i="3"/>
  <c r="D9" i="2"/>
  <c r="T9" i="3"/>
  <c r="B9" i="3" a="1"/>
  <c r="B9" i="3" s="1"/>
  <c r="E9" i="2"/>
  <c r="G9" i="2"/>
  <c r="F9" i="2"/>
  <c r="C9" i="3"/>
  <c r="H9" i="2"/>
  <c r="D9" i="3"/>
  <c r="J9" i="3"/>
  <c r="K9" i="3"/>
  <c r="P9" i="2"/>
  <c r="L9" i="3"/>
  <c r="Q9" i="2"/>
  <c r="R9" i="2"/>
  <c r="M9" i="3"/>
  <c r="N9" i="3"/>
  <c r="S9" i="2"/>
  <c r="L9" i="2"/>
  <c r="F9" i="3"/>
  <c r="M9" i="2"/>
  <c r="G9" i="3"/>
  <c r="N9" i="2"/>
  <c r="H9" i="3"/>
  <c r="O9" i="2"/>
  <c r="I9" i="3"/>
  <c r="K9" i="2"/>
  <c r="J9" i="2"/>
  <c r="U12" i="2" l="1" a="1"/>
  <c r="U12" i="2" s="1"/>
  <c r="R11" i="3"/>
  <c r="S11" i="3"/>
  <c r="D11" i="2"/>
  <c r="G11" i="2"/>
  <c r="C11" i="3"/>
  <c r="F11" i="3"/>
  <c r="K11" i="2"/>
  <c r="T11" i="3"/>
  <c r="E11" i="2"/>
  <c r="F11" i="2"/>
  <c r="A11" i="3" a="1"/>
  <c r="A11" i="3" s="1"/>
  <c r="I11" i="3"/>
  <c r="H11" i="2"/>
  <c r="B11" i="2" a="1"/>
  <c r="B11" i="2" s="1"/>
  <c r="A11" i="2" a="1"/>
  <c r="A11" i="2" s="1"/>
  <c r="D11" i="3"/>
  <c r="I11" i="2"/>
  <c r="E11" i="3"/>
  <c r="J11" i="2"/>
  <c r="M11" i="2"/>
  <c r="G11" i="3"/>
  <c r="B11" i="3" a="1"/>
  <c r="B11" i="3" s="1"/>
  <c r="L11" i="2"/>
  <c r="H11" i="3"/>
  <c r="N11" i="3"/>
  <c r="O11" i="3"/>
  <c r="T11" i="2"/>
  <c r="P11" i="3"/>
  <c r="Q11" i="3"/>
  <c r="C11" i="2"/>
  <c r="S11" i="2"/>
  <c r="N11" i="2"/>
  <c r="P11" i="2"/>
  <c r="R11" i="2"/>
  <c r="K11" i="3"/>
  <c r="O11" i="2"/>
  <c r="J11" i="3"/>
  <c r="L11" i="3"/>
  <c r="M11" i="3"/>
  <c r="Q11" i="2"/>
  <c r="U13" i="2" l="1" a="1"/>
  <c r="U13" i="2" s="1"/>
  <c r="T12" i="3"/>
  <c r="F12" i="2"/>
  <c r="M12" i="2"/>
  <c r="G12" i="2"/>
  <c r="C12" i="3"/>
  <c r="H12" i="2"/>
  <c r="D12" i="3"/>
  <c r="I12" i="2"/>
  <c r="E12" i="3"/>
  <c r="H12" i="3"/>
  <c r="O12" i="2"/>
  <c r="K12" i="3"/>
  <c r="J12" i="2"/>
  <c r="B12" i="3" a="1"/>
  <c r="B12" i="3" s="1"/>
  <c r="F12" i="3"/>
  <c r="K12" i="2"/>
  <c r="B12" i="2" a="1"/>
  <c r="B12" i="2" s="1"/>
  <c r="A12" i="2" a="1"/>
  <c r="A12" i="2" s="1"/>
  <c r="G12" i="3"/>
  <c r="L12" i="2"/>
  <c r="I12" i="3"/>
  <c r="N12" i="2"/>
  <c r="J12" i="3"/>
  <c r="A12" i="3" a="1"/>
  <c r="A12" i="3" s="1"/>
  <c r="P12" i="3"/>
  <c r="Q12" i="3"/>
  <c r="R12" i="3"/>
  <c r="C12" i="2"/>
  <c r="S12" i="3"/>
  <c r="D12" i="2"/>
  <c r="E12" i="2"/>
  <c r="L12" i="3"/>
  <c r="M12" i="3"/>
  <c r="N12" i="3"/>
  <c r="P12" i="2"/>
  <c r="O12" i="3"/>
  <c r="Q12" i="2"/>
  <c r="R12" i="2"/>
  <c r="S12" i="2"/>
  <c r="T12" i="2"/>
  <c r="C13" i="3" l="1"/>
  <c r="H13" i="2"/>
  <c r="F13" i="3"/>
  <c r="O13" i="2"/>
  <c r="B13" i="2" a="1"/>
  <c r="B13" i="2" s="1"/>
  <c r="Q13" i="2"/>
  <c r="D13" i="3"/>
  <c r="I13" i="2"/>
  <c r="J13" i="2"/>
  <c r="K13" i="2"/>
  <c r="J13" i="3"/>
  <c r="M13" i="3"/>
  <c r="E13" i="3"/>
  <c r="G13" i="3"/>
  <c r="L13" i="2"/>
  <c r="H13" i="3"/>
  <c r="M13" i="2"/>
  <c r="I13" i="3"/>
  <c r="N13" i="2"/>
  <c r="A13" i="2" a="1"/>
  <c r="A13" i="2" s="1"/>
  <c r="K13" i="3"/>
  <c r="P13" i="2"/>
  <c r="L13" i="3"/>
  <c r="R13" i="3"/>
  <c r="S13" i="3"/>
  <c r="D13" i="2"/>
  <c r="T13" i="3"/>
  <c r="E13" i="2"/>
  <c r="F13" i="2"/>
  <c r="G13" i="2"/>
  <c r="Q13" i="3"/>
  <c r="C13" i="2"/>
  <c r="R13" i="2"/>
  <c r="S13" i="2"/>
  <c r="T13" i="2"/>
  <c r="B13" i="3" a="1"/>
  <c r="B13" i="3" s="1"/>
  <c r="A13" i="3" a="1"/>
  <c r="A13" i="3" s="1"/>
  <c r="N13" i="3"/>
  <c r="O13" i="3"/>
  <c r="P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D650C-4A24-42FF-B859-C1D988A60628}" keepAlive="1" name="Query - ipopt_output" description="Connection to the 'ipopt_output' query in the workbook." type="5" refreshedVersion="8" background="1" refreshOnLoad="1">
    <dbPr connection="Provider=Microsoft.Mashup.OleDb.1;Data Source=$Workbook$;Location=ipopt_output;Extended Properties=&quot;&quot;" command="SELECT * FROM [ipopt_outpu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<sst xmlns="http://schemas.openxmlformats.org/spreadsheetml/2006/main" count="2" uniqueCount="2">
  <si>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num_runs</t>
  </si>
  <si>
    <t>Cell A2 list the path to the .csv file.  It should update automatically.  If it doesn’t, then manually update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</si>
</sst>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removeDataOnSave="1" connectionId="1" xr16:uid="{C0B7F773-EDD3-4EF7-AB61-8627A89F9C80}" autoFormatId="16" applyNumberFormats="0" applyBorderFormats="0" applyFontFormats="0" applyPatternFormats="0" applyAlignmentFormats="0" applyWidthHeightFormats="0">
  <queryTableRefresh nextId="21">
    <queryTableFields count="20">
      <queryTableField id="1" name="run" tableColumnId="1"/>
      <queryTableField id="2" name="status" tableColumnId="2"/>
      <queryTableField id="3" name="variables" tableColumnId="3"/>
      <queryTableField id="4" name="equality_constraints" tableColumnId="4"/>
      <queryTableField id="5" name="inequality_constraints" tableColumnId="5"/>
      <queryTableField id="6" name="iterations" tableColumnId="6"/>
      <queryTableField id="7" name="objective_unscaled" tableColumnId="7"/>
      <queryTableField id="8" name="constraint_violation_unscaled" tableColumnId="8"/>
      <queryTableField id="9" name="ipopt_cpu_secs" tableColumnId="9"/>
      <queryTableField id="10" name="nlp_cpu_secs" tableColumnId="10"/>
      <queryTableField id="11" name="python_wall" tableColumnId="11"/>
      <queryTableField id="12" name="ampl_wall" tableColumnId="12"/>
      <queryTableField id="13" name="solve_wall" tableColumnId="13"/>
      <queryTableField id="14" name="nvars" tableColumnId="14"/>
      <queryTableField id="15" name="snvars" tableColumnId="15"/>
      <queryTableField id="16" name="ncons" tableColumnId="16"/>
      <queryTableField id="17" name="sncons" tableColumnId="17"/>
      <queryTableField id="18" name="total_wall" tableColumnId="18"/>
      <queryTableField id="19" name="run_date" tableColumnId="19"/>
      <queryTableField id="20" name="run_start_tim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AC4A6-E5FF-497A-A1B4-BC897A570A75}" name="ipopt_output" displayName="ipopt_output" ref="A1:T121" tableType="queryTable" totalsRowShown="0">
  <autoFilter ref="A1:T121" xr:uid="{DD1AC4A6-E5FF-497A-A1B4-BC897A570A75}"/>
  <tableColumns count="20">
    <tableColumn id="1" xr3:uid="{4B2F80CD-C210-4135-AC56-79A0A2F18D03}" uniqueName="1" name="Column1" queryTableFieldId="1" dataDxfId="1"/>
    <tableColumn id="2" xr3:uid="{33FF0FB2-9774-4A9F-B713-5D54016DB96E}" uniqueName="2" name="Column2" queryTableFieldId="2" dataDxfId="0"/>
    <tableColumn id="3" xr3:uid="{85719C07-C2E5-4E34-819B-9701551C460B}" uniqueName="3" name="Column3" queryTableFieldId="3"/>
    <tableColumn id="4" xr3:uid="{2AD69530-84AD-49F3-BF3D-7EF8D63CB776}" uniqueName="4" name="Column4" queryTableFieldId="4"/>
    <tableColumn id="5" xr3:uid="{807941AB-E4B7-4E13-AB44-1B0D73039EB1}" uniqueName="5" name="Column5" queryTableFieldId="5"/>
    <tableColumn id="6" xr3:uid="{D2F9A225-A2B0-4142-916C-47A9C657F9B2}" uniqueName="6" name="Column6" queryTableFieldId="6"/>
    <tableColumn id="7" xr3:uid="{EEDA56D3-3525-40C5-9BF4-5D62B4E2C89F}" uniqueName="7" name="Column7" queryTableFieldId="7"/>
    <tableColumn id="8" xr3:uid="{3839E1AF-4F0E-4204-AEAE-B887009C2F9A}" uniqueName="8" name="Column8" queryTableFieldId="8"/>
    <tableColumn id="9" xr3:uid="{E2C84407-9543-4044-8B32-3DA4C295D6CE}" uniqueName="9" name="Column9" queryTableFieldId="9"/>
    <tableColumn id="10" xr3:uid="{2ED249A4-0B5E-42EA-8C07-F9618AF756A9}" uniqueName="10" name="Column10" queryTableFieldId="10"/>
    <tableColumn id="11" xr3:uid="{00BFCDC0-7798-49C4-B2BB-9574314A64C1}" uniqueName="11" name="Column11" queryTableFieldId="11"/>
    <tableColumn id="12" xr3:uid="{F02E8B94-0E0D-4299-BC77-DB00DCD4C608}" uniqueName="12" name="Column12" queryTableFieldId="12"/>
    <tableColumn id="13" xr3:uid="{380142DB-A4E5-454E-BB89-3D44651A8DB1}" uniqueName="13" name="Column13" queryTableFieldId="13"/>
    <tableColumn id="14" xr3:uid="{D7051EAB-4414-405D-B12A-E3DC733F0847}" uniqueName="14" name="Column14" queryTableFieldId="14"/>
    <tableColumn id="15" xr3:uid="{B840985A-85A8-4E66-9569-155FC7CF9E7A}" uniqueName="15" name="Column15" queryTableFieldId="15"/>
    <tableColumn id="16" xr3:uid="{764ACA5E-90E7-4A69-A1E5-017987182E0C}" uniqueName="16" name="Column16" queryTableFieldId="16"/>
    <tableColumn id="17" xr3:uid="{CAD39197-DDBB-411E-9439-875EF7C6D37E}" uniqueName="17" name="Column17" queryTableFieldId="17"/>
    <tableColumn id="18" xr3:uid="{4AC2ACBC-D656-4593-B169-6FC9AC4345AC}" uniqueName="18" name="Column18" queryTableFieldId="18"/>
    <tableColumn id="19" xr3:uid="{E36D7E14-828D-46F4-B4D5-2C6D43E3BDCE}" uniqueName="19" name="Column19" queryTableFieldId="19"/>
    <tableColumn id="20" xr3:uid="{03E551A3-C61D-4531-9202-31100C3BC5DC}" uniqueName="20" name="Column20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D80A-C988-4EFA-B6E1-71ECA4A1D1AC}">
  <dimension ref="A1:T1"/>
  <sheetViews>
    <sheetView tabSelected="1" topLeftCell="A67" workbookViewId="0"/>
  </sheetViews>
  <sheetFormatPr defaultRowHeight="15" x14ac:dyDescent="0.25"/>
  <cols>
    <col min="1" max="1" width="24.140625" bestFit="1" customWidth="1"/>
    <col min="2" max="2" width="63.28515625" bestFit="1" customWidth="1"/>
    <col min="3" max="3" width="11.42578125" bestFit="1" customWidth="1"/>
    <col min="4" max="4" width="21.85546875" bestFit="1" customWidth="1"/>
    <col min="5" max="5" width="23.7109375" bestFit="1" customWidth="1"/>
    <col min="6" max="6" width="12" bestFit="1" customWidth="1"/>
    <col min="7" max="7" width="21" bestFit="1" customWidth="1"/>
    <col min="8" max="8" width="30.7109375" bestFit="1" customWidth="1"/>
    <col min="9" max="9" width="17.28515625" bestFit="1" customWidth="1"/>
    <col min="10" max="10" width="15.42578125" bestFit="1" customWidth="1"/>
    <col min="11" max="11" width="14" bestFit="1" customWidth="1"/>
    <col min="12" max="12" width="12.140625" bestFit="1" customWidth="1"/>
    <col min="13" max="13" width="12.5703125" bestFit="1" customWidth="1"/>
    <col min="14" max="14" width="8.140625" bestFit="1" customWidth="1"/>
    <col min="16" max="16" width="8.7109375" bestFit="1" customWidth="1"/>
    <col min="17" max="17" width="9.7109375" bestFit="1" customWidth="1"/>
    <col min="18" max="18" width="11.85546875" bestFit="1" customWidth="1"/>
    <col min="19" max="19" width="11.140625" bestFit="1" customWidth="1"/>
    <col min="20" max="20" width="16.42578125" bestFit="1" customWidth="1"/>
  </cols>
  <sheetData>
    <row r="1" spans="1:2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3603-31DD-4839-A5EA-76F11F0AB097}">
  <dimension ref="A1:U13"/>
  <sheetViews>
    <sheetView zoomScale="140" zoomScaleNormal="140" workbookViewId="0">
      <selection activeCell="A2" sqref="A2"/>
    </sheetView>
  </sheetViews>
  <sheetFormatPr defaultRowHeight="15" x14ac:dyDescent="0.25"/>
  <cols>
    <col min="1" max="1" width="24.140625" bestFit="1" customWidth="1"/>
    <col min="2" max="2" width="18.85546875" customWidth="1"/>
    <col min="4" max="4" width="19.140625" bestFit="1" customWidth="1"/>
    <col min="5" max="5" width="20.85546875" bestFit="1" customWidth="1"/>
    <col min="6" max="6" width="9.42578125" bestFit="1" customWidth="1"/>
    <col min="7" max="7" width="18.140625" bestFit="1" customWidth="1"/>
    <col min="8" max="8" width="28.140625" bestFit="1" customWidth="1"/>
    <col min="9" max="9" width="14.7109375" bestFit="1" customWidth="1"/>
    <col min="10" max="10" width="12.85546875" bestFit="1" customWidth="1"/>
    <col min="11" max="11" width="13.28515625" bestFit="1" customWidth="1"/>
    <col min="12" max="12" width="11" bestFit="1" customWidth="1"/>
    <col min="13" max="13" width="13.28515625" bestFit="1" customWidth="1"/>
    <col min="14" max="14" width="7.7109375" bestFit="1" customWidth="1"/>
    <col min="15" max="15" width="6.85546875" bestFit="1" customWidth="1"/>
    <col min="16" max="16" width="7.7109375" bestFit="1" customWidth="1"/>
    <col min="17" max="17" width="7.42578125" bestFit="1" customWidth="1"/>
    <col min="18" max="19" width="10" bestFit="1" customWidth="1"/>
    <col min="20" max="20" width="13.7109375" bestFit="1" customWidth="1"/>
  </cols>
  <sheetData>
    <row r="1" spans="1:21" x14ac:dyDescent="0.25">
      <c r="A1" t="str">
        <f>ipopt_output!A1</f>
        <v>Column1</v>
      </c>
      <c r="B1" t="str">
        <f>ipopt_output!B1</f>
        <v>Column2</v>
      </c>
      <c r="C1" t="str">
        <f>ipopt_output!C1</f>
        <v>Column3</v>
      </c>
      <c r="D1" t="str">
        <f>ipopt_output!D1</f>
        <v>Column4</v>
      </c>
      <c r="E1" t="str">
        <f>ipopt_output!E1</f>
        <v>Column5</v>
      </c>
      <c r="F1" t="str">
        <f>ipopt_output!F1</f>
        <v>Column6</v>
      </c>
      <c r="G1" t="str">
        <f>ipopt_output!G1</f>
        <v>Column7</v>
      </c>
      <c r="H1" t="str">
        <f>ipopt_output!H1</f>
        <v>Column8</v>
      </c>
      <c r="I1" t="str">
        <f>ipopt_output!I1</f>
        <v>Column9</v>
      </c>
      <c r="J1" t="str">
        <f>ipopt_output!J1</f>
        <v>Column10</v>
      </c>
      <c r="K1" t="str">
        <f>ipopt_output!K1</f>
        <v>Column11</v>
      </c>
      <c r="L1" t="str">
        <f>ipopt_output!L1</f>
        <v>Column12</v>
      </c>
      <c r="M1" t="str">
        <f>ipopt_output!M1</f>
        <v>Column13</v>
      </c>
      <c r="N1" t="str">
        <f>ipopt_output!N1</f>
        <v>Column14</v>
      </c>
      <c r="O1" t="str">
        <f>ipopt_output!O1</f>
        <v>Column15</v>
      </c>
      <c r="P1" t="str">
        <f>ipopt_output!P1</f>
        <v>Column16</v>
      </c>
      <c r="Q1" t="str">
        <f>ipopt_output!Q1</f>
        <v>Column17</v>
      </c>
      <c r="R1" t="str">
        <f>ipopt_output!R1</f>
        <v>Column18</v>
      </c>
      <c r="S1" t="str">
        <f>ipopt_output!S1</f>
        <v>Column19</v>
      </c>
      <c r="T1" t="str">
        <f>ipopt_output!T1</f>
        <v>Column20</v>
      </c>
      <c r="U1" t="s">
        <v>0</v>
      </c>
    </row>
    <row r="2" spans="1:21" x14ac:dyDescent="0.25">
      <c r="A2" cm="1">
        <f t="array" ref="A2">INDEX(ipopt_output!A:A, (ROW()-2)*$U2+2)</f>
        <v>0</v>
      </c>
      <c r="B2" cm="1">
        <f t="array" ref="B2">INDEX(ipopt_output!B:B, (ROW()-2)*$U2+2)</f>
        <v>0</v>
      </c>
      <c r="C2" t="str">
        <f>IFERROR(AVERAGE(INDEX(ipopt_output!C:C, (ROW()-2)*$U2+2):INDEX(ipopt_output!C:C, (ROW()-2)*$U2 + $U2+1)), "")</f>
        <v/>
      </c>
      <c r="D2" t="str">
        <f>IFERROR(AVERAGE(INDEX(ipopt_output!D:D, (ROW()-2)*$U2+2):INDEX(ipopt_output!D:D, (ROW()-2)*$U2 + $U2+1)), "")</f>
        <v/>
      </c>
      <c r="E2" t="str">
        <f>IFERROR(AVERAGE(INDEX(ipopt_output!E:E, (ROW()-2)*$U2+2):INDEX(ipopt_output!E:E, (ROW()-2)*$U2 + $U2+1)), "")</f>
        <v/>
      </c>
      <c r="F2" t="str">
        <f>IFERROR(AVERAGE(INDEX(ipopt_output!F:F, (ROW()-2)*$U2+2):INDEX(ipopt_output!F:F, (ROW()-2)*$U2 + $U2+1)), "")</f>
        <v/>
      </c>
      <c r="G2" t="str">
        <f>IFERROR(AVERAGE(INDEX(ipopt_output!G:G, (ROW()-2)*$U2+2):INDEX(ipopt_output!G:G, (ROW()-2)*$U2 + $U2+1)), "")</f>
        <v/>
      </c>
      <c r="H2" t="str">
        <f>IFERROR(AVERAGE(INDEX(ipopt_output!H:H, (ROW()-2)*$U2+2):INDEX(ipopt_output!H:H, (ROW()-2)*$U2 + $U2+1)), "")</f>
        <v/>
      </c>
      <c r="I2" t="str">
        <f>IFERROR(AVERAGE(INDEX(ipopt_output!I:I, (ROW()-2)*$U2+2):INDEX(ipopt_output!I:I, (ROW()-2)*$U2 + $U2+1)), "")</f>
        <v/>
      </c>
      <c r="J2" t="str">
        <f>IFERROR(AVERAGE(INDEX(ipopt_output!J:J, (ROW()-2)*$U2+2):INDEX(ipopt_output!J:J, (ROW()-2)*$U2 + $U2+1)), "")</f>
        <v/>
      </c>
      <c r="K2" t="str">
        <f>IFERROR(AVERAGE(INDEX(ipopt_output!K:K, (ROW()-2)*$U2+2):INDEX(ipopt_output!K:K, (ROW()-2)*$U2 + $U2+1)), "")</f>
        <v/>
      </c>
      <c r="L2" t="str">
        <f>IFERROR(AVERAGE(INDEX(ipopt_output!L:L, (ROW()-2)*$U2+2):INDEX(ipopt_output!L:L, (ROW()-2)*$U2 + $U2+1)), "")</f>
        <v/>
      </c>
      <c r="M2" t="str">
        <f>IFERROR(AVERAGE(INDEX(ipopt_output!M:M, (ROW()-2)*$U2+2):INDEX(ipopt_output!M:M, (ROW()-2)*$U2 + $U2+1)), "")</f>
        <v/>
      </c>
      <c r="N2" t="str">
        <f>IFERROR(AVERAGE(INDEX(ipopt_output!N:N, (ROW()-2)*$U2+2):INDEX(ipopt_output!N:N, (ROW()-2)*$U2 + $U2+1)), "")</f>
        <v/>
      </c>
      <c r="O2" t="str">
        <f>IFERROR(AVERAGE(INDEX(ipopt_output!O:O, (ROW()-2)*$U2+2):INDEX(ipopt_output!O:O, (ROW()-2)*$U2 + $U2+1)), "")</f>
        <v/>
      </c>
      <c r="P2" t="str">
        <f>IFERROR(AVERAGE(INDEX(ipopt_output!P:P, (ROW()-2)*$U2+2):INDEX(ipopt_output!P:P, (ROW()-2)*$U2 + $U2+1)), "")</f>
        <v/>
      </c>
      <c r="Q2" t="str">
        <f>IFERROR(AVERAGE(INDEX(ipopt_output!Q:Q, (ROW()-2)*$U2+2):INDEX(ipopt_output!Q:Q, (ROW()-2)*$U2 + $U2+1)), "")</f>
        <v/>
      </c>
      <c r="R2" t="str">
        <f>IFERROR(AVERAGE(INDEX(ipopt_output!R:R, (ROW()-2)*$U2+2):INDEX(ipopt_output!R:R, (ROW()-2)*$U2 + $U2+1)), "")</f>
        <v/>
      </c>
      <c r="S2" t="str">
        <f>IFERROR(AVERAGE(INDEX(ipopt_output!S:S, (ROW()-2)*$U2+2):INDEX(ipopt_output!S:S, (ROW()-2)*$U2 + $U2+1)), "")</f>
        <v/>
      </c>
      <c r="T2" t="str">
        <f>IFERROR(AVERAGE(INDEX(ipopt_output!T:T, (ROW()-2)*$U2+2):INDEX(ipopt_output!T:T, (ROW()-2)*$U2 + $U2+1)), "")</f>
        <v/>
      </c>
      <c r="U2">
        <f>COUNTIF(ipopt_output!A:A, ipopt_output!A2)</f>
        <v>0</v>
      </c>
    </row>
    <row r="3" spans="1:21" x14ac:dyDescent="0.25">
      <c r="A3" cm="1">
        <f t="array" ref="A3">INDEX(ipopt_output!A:A, (ROW()-2)*$U3+2)</f>
        <v>0</v>
      </c>
      <c r="B3" cm="1">
        <f t="array" ref="B3">INDEX(ipopt_output!B:B, (ROW()-2)*$U3+2)</f>
        <v>0</v>
      </c>
      <c r="C3" t="str">
        <f>IFERROR(AVERAGE(INDEX(ipopt_output!C:C, (ROW()-2)*$U3+2):INDEX(ipopt_output!C:C, (ROW()-2)*$U3 + $U3+1)), "")</f>
        <v/>
      </c>
      <c r="D3" t="str">
        <f>IFERROR(AVERAGE(INDEX(ipopt_output!D:D, (ROW()-2)*$U3+2):INDEX(ipopt_output!D:D, (ROW()-2)*$U3 + $U3+1)), "")</f>
        <v/>
      </c>
      <c r="E3" t="str">
        <f>IFERROR(AVERAGE(INDEX(ipopt_output!E:E, (ROW()-2)*$U3+2):INDEX(ipopt_output!E:E, (ROW()-2)*$U3 + $U3+1)), "")</f>
        <v/>
      </c>
      <c r="F3" t="str">
        <f>IFERROR(AVERAGE(INDEX(ipopt_output!F:F, (ROW()-2)*$U3+2):INDEX(ipopt_output!F:F, (ROW()-2)*$U3 + $U3+1)), "")</f>
        <v/>
      </c>
      <c r="G3" t="str">
        <f>IFERROR(AVERAGE(INDEX(ipopt_output!G:G, (ROW()-2)*$U3+2):INDEX(ipopt_output!G:G, (ROW()-2)*$U3 + $U3+1)), "")</f>
        <v/>
      </c>
      <c r="H3" t="str">
        <f>IFERROR(AVERAGE(INDEX(ipopt_output!H:H, (ROW()-2)*$U3+2):INDEX(ipopt_output!H:H, (ROW()-2)*$U3 + $U3+1)), "")</f>
        <v/>
      </c>
      <c r="I3" t="str">
        <f>IFERROR(AVERAGE(INDEX(ipopt_output!I:I, (ROW()-2)*$U3+2):INDEX(ipopt_output!I:I, (ROW()-2)*$U3 + $U3+1)), "")</f>
        <v/>
      </c>
      <c r="J3" t="str">
        <f>IFERROR(AVERAGE(INDEX(ipopt_output!J:J, (ROW()-2)*$U3+2):INDEX(ipopt_output!J:J, (ROW()-2)*$U3 + $U3+1)), "")</f>
        <v/>
      </c>
      <c r="K3" t="str">
        <f>IFERROR(AVERAGE(INDEX(ipopt_output!K:K, (ROW()-2)*$U3+2):INDEX(ipopt_output!K:K, (ROW()-2)*$U3 + $U3+1)), "")</f>
        <v/>
      </c>
      <c r="L3" t="str">
        <f>IFERROR(AVERAGE(INDEX(ipopt_output!L:L, (ROW()-2)*$U3+2):INDEX(ipopt_output!L:L, (ROW()-2)*$U3 + $U3+1)), "")</f>
        <v/>
      </c>
      <c r="M3" t="str">
        <f>IFERROR(AVERAGE(INDEX(ipopt_output!M:M, (ROW()-2)*$U3+2):INDEX(ipopt_output!M:M, (ROW()-2)*$U3 + $U3+1)), "")</f>
        <v/>
      </c>
      <c r="N3" t="str">
        <f>IFERROR(AVERAGE(INDEX(ipopt_output!N:N, (ROW()-2)*$U3+2):INDEX(ipopt_output!N:N, (ROW()-2)*$U3 + $U3+1)), "")</f>
        <v/>
      </c>
      <c r="O3" t="str">
        <f>IFERROR(AVERAGE(INDEX(ipopt_output!O:O, (ROW()-2)*$U3+2):INDEX(ipopt_output!O:O, (ROW()-2)*$U3 + $U3+1)), "")</f>
        <v/>
      </c>
      <c r="P3" t="str">
        <f>IFERROR(AVERAGE(INDEX(ipopt_output!P:P, (ROW()-2)*$U3+2):INDEX(ipopt_output!P:P, (ROW()-2)*$U3 + $U3+1)), "")</f>
        <v/>
      </c>
      <c r="Q3" t="str">
        <f>IFERROR(AVERAGE(INDEX(ipopt_output!Q:Q, (ROW()-2)*$U3+2):INDEX(ipopt_output!Q:Q, (ROW()-2)*$U3 + $U3+1)), "")</f>
        <v/>
      </c>
      <c r="R3" t="str">
        <f>IFERROR(AVERAGE(INDEX(ipopt_output!R:R, (ROW()-2)*$U3+2):INDEX(ipopt_output!R:R, (ROW()-2)*$U3 + $U3+1)), "")</f>
        <v/>
      </c>
      <c r="S3" t="str">
        <f>IFERROR(AVERAGE(INDEX(ipopt_output!S:S, (ROW()-2)*$U3+2):INDEX(ipopt_output!S:S, (ROW()-2)*$U3 + $U3+1)), "")</f>
        <v/>
      </c>
      <c r="T3" t="str">
        <f>IFERROR(AVERAGE(INDEX(ipopt_output!T:T, (ROW()-2)*$U3+2):INDEX(ipopt_output!T:T, (ROW()-2)*$U3 + $U3+1)), "")</f>
        <v/>
      </c>
      <c r="U3" cm="1">
        <f t="array" ref="U3">COUNTIF(ipopt_output!A:A,INDEX(ipopt_output!A:A,SUM(U$2:U2)+2))</f>
        <v>0</v>
      </c>
    </row>
    <row r="4" spans="1:21" x14ac:dyDescent="0.25">
      <c r="A4" cm="1">
        <f t="array" ref="A4">INDEX(ipopt_output!A:A, (ROW()-2)*$U4+2)</f>
        <v>0</v>
      </c>
      <c r="B4" cm="1">
        <f t="array" ref="B4">INDEX(ipopt_output!B:B, (ROW()-2)*$U4+2)</f>
        <v>0</v>
      </c>
      <c r="C4" t="str">
        <f>IFERROR(AVERAGE(INDEX(ipopt_output!C:C, (ROW()-2)*$U4+2):INDEX(ipopt_output!C:C, (ROW()-2)*$U4 + $U4+1)), "")</f>
        <v/>
      </c>
      <c r="D4" t="str">
        <f>IFERROR(AVERAGE(INDEX(ipopt_output!D:D, (ROW()-2)*$U4+2):INDEX(ipopt_output!D:D, (ROW()-2)*$U4 + $U4+1)), "")</f>
        <v/>
      </c>
      <c r="E4" t="str">
        <f>IFERROR(AVERAGE(INDEX(ipopt_output!E:E, (ROW()-2)*$U4+2):INDEX(ipopt_output!E:E, (ROW()-2)*$U4 + $U4+1)), "")</f>
        <v/>
      </c>
      <c r="F4" t="str">
        <f>IFERROR(AVERAGE(INDEX(ipopt_output!F:F, (ROW()-2)*$U4+2):INDEX(ipopt_output!F:F, (ROW()-2)*$U4 + $U4+1)), "")</f>
        <v/>
      </c>
      <c r="G4" t="str">
        <f>IFERROR(AVERAGE(INDEX(ipopt_output!G:G, (ROW()-2)*$U4+2):INDEX(ipopt_output!G:G, (ROW()-2)*$U4 + $U4+1)), "")</f>
        <v/>
      </c>
      <c r="H4" t="str">
        <f>IFERROR(AVERAGE(INDEX(ipopt_output!H:H, (ROW()-2)*$U4+2):INDEX(ipopt_output!H:H, (ROW()-2)*$U4 + $U4+1)), "")</f>
        <v/>
      </c>
      <c r="I4" t="str">
        <f>IFERROR(AVERAGE(INDEX(ipopt_output!I:I, (ROW()-2)*$U4+2):INDEX(ipopt_output!I:I, (ROW()-2)*$U4 + $U4+1)), "")</f>
        <v/>
      </c>
      <c r="J4" t="str">
        <f>IFERROR(AVERAGE(INDEX(ipopt_output!J:J, (ROW()-2)*$U4+2):INDEX(ipopt_output!J:J, (ROW()-2)*$U4 + $U4+1)), "")</f>
        <v/>
      </c>
      <c r="K4" t="str">
        <f>IFERROR(AVERAGE(INDEX(ipopt_output!K:K, (ROW()-2)*$U4+2):INDEX(ipopt_output!K:K, (ROW()-2)*$U4 + $U4+1)), "")</f>
        <v/>
      </c>
      <c r="L4" t="str">
        <f>IFERROR(AVERAGE(INDEX(ipopt_output!L:L, (ROW()-2)*$U4+2):INDEX(ipopt_output!L:L, (ROW()-2)*$U4 + $U4+1)), "")</f>
        <v/>
      </c>
      <c r="M4" t="str">
        <f>IFERROR(AVERAGE(INDEX(ipopt_output!M:M, (ROW()-2)*$U4+2):INDEX(ipopt_output!M:M, (ROW()-2)*$U4 + $U4+1)), "")</f>
        <v/>
      </c>
      <c r="N4" t="str">
        <f>IFERROR(AVERAGE(INDEX(ipopt_output!N:N, (ROW()-2)*$U4+2):INDEX(ipopt_output!N:N, (ROW()-2)*$U4 + $U4+1)), "")</f>
        <v/>
      </c>
      <c r="O4" t="str">
        <f>IFERROR(AVERAGE(INDEX(ipopt_output!O:O, (ROW()-2)*$U4+2):INDEX(ipopt_output!O:O, (ROW()-2)*$U4 + $U4+1)), "")</f>
        <v/>
      </c>
      <c r="P4" t="str">
        <f>IFERROR(AVERAGE(INDEX(ipopt_output!P:P, (ROW()-2)*$U4+2):INDEX(ipopt_output!P:P, (ROW()-2)*$U4 + $U4+1)), "")</f>
        <v/>
      </c>
      <c r="Q4" t="str">
        <f>IFERROR(AVERAGE(INDEX(ipopt_output!Q:Q, (ROW()-2)*$U4+2):INDEX(ipopt_output!Q:Q, (ROW()-2)*$U4 + $U4+1)), "")</f>
        <v/>
      </c>
      <c r="R4" t="str">
        <f>IFERROR(AVERAGE(INDEX(ipopt_output!R:R, (ROW()-2)*$U4+2):INDEX(ipopt_output!R:R, (ROW()-2)*$U4 + $U4+1)), "")</f>
        <v/>
      </c>
      <c r="S4" t="str">
        <f>IFERROR(AVERAGE(INDEX(ipopt_output!S:S, (ROW()-2)*$U4+2):INDEX(ipopt_output!S:S, (ROW()-2)*$U4 + $U4+1)), "")</f>
        <v/>
      </c>
      <c r="T4" t="str">
        <f>IFERROR(AVERAGE(INDEX(ipopt_output!T:T, (ROW()-2)*$U4+2):INDEX(ipopt_output!T:T, (ROW()-2)*$U4 + $U4+1)), "")</f>
        <v/>
      </c>
      <c r="U4" cm="1">
        <f t="array" ref="U4">COUNTIF(ipopt_output!A:A,INDEX(ipopt_output!A:A,SUM(U$2:U3)+2))</f>
        <v>0</v>
      </c>
    </row>
    <row r="5" spans="1:21" x14ac:dyDescent="0.25">
      <c r="A5" cm="1">
        <f t="array" ref="A5">INDEX(ipopt_output!A:A, (ROW()-2)*$U5+2)</f>
        <v>0</v>
      </c>
      <c r="B5" cm="1">
        <f t="array" ref="B5">INDEX(ipopt_output!B:B, (ROW()-2)*$U5+2)</f>
        <v>0</v>
      </c>
      <c r="C5" t="str">
        <f>IFERROR(AVERAGE(INDEX(ipopt_output!C:C, (ROW()-2)*$U5+2):INDEX(ipopt_output!C:C, (ROW()-2)*$U5 + $U5+1)), "")</f>
        <v/>
      </c>
      <c r="D5" t="str">
        <f>IFERROR(AVERAGE(INDEX(ipopt_output!D:D, (ROW()-2)*$U5+2):INDEX(ipopt_output!D:D, (ROW()-2)*$U5 + $U5+1)), "")</f>
        <v/>
      </c>
      <c r="E5" t="str">
        <f>IFERROR(AVERAGE(INDEX(ipopt_output!E:E, (ROW()-2)*$U5+2):INDEX(ipopt_output!E:E, (ROW()-2)*$U5 + $U5+1)), "")</f>
        <v/>
      </c>
      <c r="F5" t="str">
        <f>IFERROR(AVERAGE(INDEX(ipopt_output!F:F, (ROW()-2)*$U5+2):INDEX(ipopt_output!F:F, (ROW()-2)*$U5 + $U5+1)), "")</f>
        <v/>
      </c>
      <c r="G5" t="str">
        <f>IFERROR(AVERAGE(INDEX(ipopt_output!G:G, (ROW()-2)*$U5+2):INDEX(ipopt_output!G:G, (ROW()-2)*$U5 + $U5+1)), "")</f>
        <v/>
      </c>
      <c r="H5" t="str">
        <f>IFERROR(AVERAGE(INDEX(ipopt_output!H:H, (ROW()-2)*$U5+2):INDEX(ipopt_output!H:H, (ROW()-2)*$U5 + $U5+1)), "")</f>
        <v/>
      </c>
      <c r="I5" t="str">
        <f>IFERROR(AVERAGE(INDEX(ipopt_output!I:I, (ROW()-2)*$U5+2):INDEX(ipopt_output!I:I, (ROW()-2)*$U5 + $U5+1)), "")</f>
        <v/>
      </c>
      <c r="J5" t="str">
        <f>IFERROR(AVERAGE(INDEX(ipopt_output!J:J, (ROW()-2)*$U5+2):INDEX(ipopt_output!J:J, (ROW()-2)*$U5 + $U5+1)), "")</f>
        <v/>
      </c>
      <c r="K5" t="str">
        <f>IFERROR(AVERAGE(INDEX(ipopt_output!K:K, (ROW()-2)*$U5+2):INDEX(ipopt_output!K:K, (ROW()-2)*$U5 + $U5+1)), "")</f>
        <v/>
      </c>
      <c r="L5" t="str">
        <f>IFERROR(AVERAGE(INDEX(ipopt_output!L:L, (ROW()-2)*$U5+2):INDEX(ipopt_output!L:L, (ROW()-2)*$U5 + $U5+1)), "")</f>
        <v/>
      </c>
      <c r="M5" t="str">
        <f>IFERROR(AVERAGE(INDEX(ipopt_output!M:M, (ROW()-2)*$U5+2):INDEX(ipopt_output!M:M, (ROW()-2)*$U5 + $U5+1)), "")</f>
        <v/>
      </c>
      <c r="N5" t="str">
        <f>IFERROR(AVERAGE(INDEX(ipopt_output!N:N, (ROW()-2)*$U5+2):INDEX(ipopt_output!N:N, (ROW()-2)*$U5 + $U5+1)), "")</f>
        <v/>
      </c>
      <c r="O5" t="str">
        <f>IFERROR(AVERAGE(INDEX(ipopt_output!O:O, (ROW()-2)*$U5+2):INDEX(ipopt_output!O:O, (ROW()-2)*$U5 + $U5+1)), "")</f>
        <v/>
      </c>
      <c r="P5" t="str">
        <f>IFERROR(AVERAGE(INDEX(ipopt_output!P:P, (ROW()-2)*$U5+2):INDEX(ipopt_output!P:P, (ROW()-2)*$U5 + $U5+1)), "")</f>
        <v/>
      </c>
      <c r="Q5" t="str">
        <f>IFERROR(AVERAGE(INDEX(ipopt_output!Q:Q, (ROW()-2)*$U5+2):INDEX(ipopt_output!Q:Q, (ROW()-2)*$U5 + $U5+1)), "")</f>
        <v/>
      </c>
      <c r="R5" t="str">
        <f>IFERROR(AVERAGE(INDEX(ipopt_output!R:R, (ROW()-2)*$U5+2):INDEX(ipopt_output!R:R, (ROW()-2)*$U5 + $U5+1)), "")</f>
        <v/>
      </c>
      <c r="S5" t="str">
        <f>IFERROR(AVERAGE(INDEX(ipopt_output!S:S, (ROW()-2)*$U5+2):INDEX(ipopt_output!S:S, (ROW()-2)*$U5 + $U5+1)), "")</f>
        <v/>
      </c>
      <c r="T5" t="str">
        <f>IFERROR(AVERAGE(INDEX(ipopt_output!T:T, (ROW()-2)*$U5+2):INDEX(ipopt_output!T:T, (ROW()-2)*$U5 + $U5+1)), "")</f>
        <v/>
      </c>
      <c r="U5" cm="1">
        <f t="array" ref="U5">COUNTIF(ipopt_output!A:A,INDEX(ipopt_output!A:A,SUM(U$2:U4)+2))</f>
        <v>0</v>
      </c>
    </row>
    <row r="6" spans="1:21" x14ac:dyDescent="0.25">
      <c r="A6" cm="1">
        <f t="array" ref="A6">INDEX(ipopt_output!A:A, (ROW()-2)*$U6+2)</f>
        <v>0</v>
      </c>
      <c r="B6" cm="1">
        <f t="array" ref="B6">INDEX(ipopt_output!B:B, (ROW()-2)*$U6+2)</f>
        <v>0</v>
      </c>
      <c r="C6" t="str">
        <f>IFERROR(AVERAGE(INDEX(ipopt_output!C:C, (ROW()-2)*$U6+2):INDEX(ipopt_output!C:C, (ROW()-2)*$U6 + $U6+1)), "")</f>
        <v/>
      </c>
      <c r="D6" t="str">
        <f>IFERROR(AVERAGE(INDEX(ipopt_output!D:D, (ROW()-2)*$U6+2):INDEX(ipopt_output!D:D, (ROW()-2)*$U6 + $U6+1)), "")</f>
        <v/>
      </c>
      <c r="E6" t="str">
        <f>IFERROR(AVERAGE(INDEX(ipopt_output!E:E, (ROW()-2)*$U6+2):INDEX(ipopt_output!E:E, (ROW()-2)*$U6 + $U6+1)), "")</f>
        <v/>
      </c>
      <c r="F6" t="str">
        <f>IFERROR(AVERAGE(INDEX(ipopt_output!F:F, (ROW()-2)*$U6+2):INDEX(ipopt_output!F:F, (ROW()-2)*$U6 + $U6+1)), "")</f>
        <v/>
      </c>
      <c r="G6" t="str">
        <f>IFERROR(AVERAGE(INDEX(ipopt_output!G:G, (ROW()-2)*$U6+2):INDEX(ipopt_output!G:G, (ROW()-2)*$U6 + $U6+1)), "")</f>
        <v/>
      </c>
      <c r="H6" t="str">
        <f>IFERROR(AVERAGE(INDEX(ipopt_output!H:H, (ROW()-2)*$U6+2):INDEX(ipopt_output!H:H, (ROW()-2)*$U6 + $U6+1)), "")</f>
        <v/>
      </c>
      <c r="I6" t="str">
        <f>IFERROR(AVERAGE(INDEX(ipopt_output!I:I, (ROW()-2)*$U6+2):INDEX(ipopt_output!I:I, (ROW()-2)*$U6 + $U6+1)), "")</f>
        <v/>
      </c>
      <c r="J6" t="str">
        <f>IFERROR(AVERAGE(INDEX(ipopt_output!J:J, (ROW()-2)*$U6+2):INDEX(ipopt_output!J:J, (ROW()-2)*$U6 + $U6+1)), "")</f>
        <v/>
      </c>
      <c r="K6" t="str">
        <f>IFERROR(AVERAGE(INDEX(ipopt_output!K:K, (ROW()-2)*$U6+2):INDEX(ipopt_output!K:K, (ROW()-2)*$U6 + $U6+1)), "")</f>
        <v/>
      </c>
      <c r="L6" t="str">
        <f>IFERROR(AVERAGE(INDEX(ipopt_output!L:L, (ROW()-2)*$U6+2):INDEX(ipopt_output!L:L, (ROW()-2)*$U6 + $U6+1)), "")</f>
        <v/>
      </c>
      <c r="M6" t="str">
        <f>IFERROR(AVERAGE(INDEX(ipopt_output!M:M, (ROW()-2)*$U6+2):INDEX(ipopt_output!M:M, (ROW()-2)*$U6 + $U6+1)), "")</f>
        <v/>
      </c>
      <c r="N6" t="str">
        <f>IFERROR(AVERAGE(INDEX(ipopt_output!N:N, (ROW()-2)*$U6+2):INDEX(ipopt_output!N:N, (ROW()-2)*$U6 + $U6+1)), "")</f>
        <v/>
      </c>
      <c r="O6" t="str">
        <f>IFERROR(AVERAGE(INDEX(ipopt_output!O:O, (ROW()-2)*$U6+2):INDEX(ipopt_output!O:O, (ROW()-2)*$U6 + $U6+1)), "")</f>
        <v/>
      </c>
      <c r="P6" t="str">
        <f>IFERROR(AVERAGE(INDEX(ipopt_output!P:P, (ROW()-2)*$U6+2):INDEX(ipopt_output!P:P, (ROW()-2)*$U6 + $U6+1)), "")</f>
        <v/>
      </c>
      <c r="Q6" t="str">
        <f>IFERROR(AVERAGE(INDEX(ipopt_output!Q:Q, (ROW()-2)*$U6+2):INDEX(ipopt_output!Q:Q, (ROW()-2)*$U6 + $U6+1)), "")</f>
        <v/>
      </c>
      <c r="R6" t="str">
        <f>IFERROR(AVERAGE(INDEX(ipopt_output!R:R, (ROW()-2)*$U6+2):INDEX(ipopt_output!R:R, (ROW()-2)*$U6 + $U6+1)), "")</f>
        <v/>
      </c>
      <c r="S6" t="str">
        <f>IFERROR(AVERAGE(INDEX(ipopt_output!S:S, (ROW()-2)*$U6+2):INDEX(ipopt_output!S:S, (ROW()-2)*$U6 + $U6+1)), "")</f>
        <v/>
      </c>
      <c r="T6" t="str">
        <f>IFERROR(AVERAGE(INDEX(ipopt_output!T:T, (ROW()-2)*$U6+2):INDEX(ipopt_output!T:T, (ROW()-2)*$U6 + $U6+1)), "")</f>
        <v/>
      </c>
      <c r="U6" cm="1">
        <f t="array" ref="U6">COUNTIF(ipopt_output!A:A,INDEX(ipopt_output!A:A,SUM(U$2:U5)+2))</f>
        <v>0</v>
      </c>
    </row>
    <row r="7" spans="1:21" x14ac:dyDescent="0.25">
      <c r="A7" cm="1">
        <f t="array" ref="A7">INDEX(ipopt_output!A:A, (ROW()-2)*$U7+2)</f>
        <v>0</v>
      </c>
      <c r="B7" cm="1">
        <f t="array" ref="B7">INDEX(ipopt_output!B:B, (ROW()-2)*$U7+2)</f>
        <v>0</v>
      </c>
      <c r="C7" t="str">
        <f>IFERROR(AVERAGE(INDEX(ipopt_output!C:C, (ROW()-2)*$U7+2):INDEX(ipopt_output!C:C, (ROW()-2)*$U7 + $U7+1)), "")</f>
        <v/>
      </c>
      <c r="D7" t="str">
        <f>IFERROR(AVERAGE(INDEX(ipopt_output!D:D, (ROW()-2)*$U7+2):INDEX(ipopt_output!D:D, (ROW()-2)*$U7 + $U7+1)), "")</f>
        <v/>
      </c>
      <c r="E7" t="str">
        <f>IFERROR(AVERAGE(INDEX(ipopt_output!E:E, (ROW()-2)*$U7+2):INDEX(ipopt_output!E:E, (ROW()-2)*$U7 + $U7+1)), "")</f>
        <v/>
      </c>
      <c r="F7" t="str">
        <f>IFERROR(AVERAGE(INDEX(ipopt_output!F:F, (ROW()-2)*$U7+2):INDEX(ipopt_output!F:F, (ROW()-2)*$U7 + $U7+1)), "")</f>
        <v/>
      </c>
      <c r="G7" t="str">
        <f>IFERROR(AVERAGE(INDEX(ipopt_output!G:G, (ROW()-2)*$U7+2):INDEX(ipopt_output!G:G, (ROW()-2)*$U7 + $U7+1)), "")</f>
        <v/>
      </c>
      <c r="H7" t="str">
        <f>IFERROR(AVERAGE(INDEX(ipopt_output!H:H, (ROW()-2)*$U7+2):INDEX(ipopt_output!H:H, (ROW()-2)*$U7 + $U7+1)), "")</f>
        <v/>
      </c>
      <c r="I7" t="str">
        <f>IFERROR(AVERAGE(INDEX(ipopt_output!I:I, (ROW()-2)*$U7+2):INDEX(ipopt_output!I:I, (ROW()-2)*$U7 + $U7+1)), "")</f>
        <v/>
      </c>
      <c r="J7" t="str">
        <f>IFERROR(AVERAGE(INDEX(ipopt_output!J:J, (ROW()-2)*$U7+2):INDEX(ipopt_output!J:J, (ROW()-2)*$U7 + $U7+1)), "")</f>
        <v/>
      </c>
      <c r="K7" t="str">
        <f>IFERROR(AVERAGE(INDEX(ipopt_output!K:K, (ROW()-2)*$U7+2):INDEX(ipopt_output!K:K, (ROW()-2)*$U7 + $U7+1)), "")</f>
        <v/>
      </c>
      <c r="L7" t="str">
        <f>IFERROR(AVERAGE(INDEX(ipopt_output!L:L, (ROW()-2)*$U7+2):INDEX(ipopt_output!L:L, (ROW()-2)*$U7 + $U7+1)), "")</f>
        <v/>
      </c>
      <c r="M7" t="str">
        <f>IFERROR(AVERAGE(INDEX(ipopt_output!M:M, (ROW()-2)*$U7+2):INDEX(ipopt_output!M:M, (ROW()-2)*$U7 + $U7+1)), "")</f>
        <v/>
      </c>
      <c r="N7" t="str">
        <f>IFERROR(AVERAGE(INDEX(ipopt_output!N:N, (ROW()-2)*$U7+2):INDEX(ipopt_output!N:N, (ROW()-2)*$U7 + $U7+1)), "")</f>
        <v/>
      </c>
      <c r="O7" t="str">
        <f>IFERROR(AVERAGE(INDEX(ipopt_output!O:O, (ROW()-2)*$U7+2):INDEX(ipopt_output!O:O, (ROW()-2)*$U7 + $U7+1)), "")</f>
        <v/>
      </c>
      <c r="P7" t="str">
        <f>IFERROR(AVERAGE(INDEX(ipopt_output!P:P, (ROW()-2)*$U7+2):INDEX(ipopt_output!P:P, (ROW()-2)*$U7 + $U7+1)), "")</f>
        <v/>
      </c>
      <c r="Q7" t="str">
        <f>IFERROR(AVERAGE(INDEX(ipopt_output!Q:Q, (ROW()-2)*$U7+2):INDEX(ipopt_output!Q:Q, (ROW()-2)*$U7 + $U7+1)), "")</f>
        <v/>
      </c>
      <c r="R7" t="str">
        <f>IFERROR(AVERAGE(INDEX(ipopt_output!R:R, (ROW()-2)*$U7+2):INDEX(ipopt_output!R:R, (ROW()-2)*$U7 + $U7+1)), "")</f>
        <v/>
      </c>
      <c r="S7" t="str">
        <f>IFERROR(AVERAGE(INDEX(ipopt_output!S:S, (ROW()-2)*$U7+2):INDEX(ipopt_output!S:S, (ROW()-2)*$U7 + $U7+1)), "")</f>
        <v/>
      </c>
      <c r="T7" t="str">
        <f>IFERROR(AVERAGE(INDEX(ipopt_output!T:T, (ROW()-2)*$U7+2):INDEX(ipopt_output!T:T, (ROW()-2)*$U7 + $U7+1)), "")</f>
        <v/>
      </c>
      <c r="U7" cm="1">
        <f t="array" ref="U7">COUNTIF(ipopt_output!A:A,INDEX(ipopt_output!A:A,SUM(U$2:U6)+2))</f>
        <v>0</v>
      </c>
    </row>
    <row r="8" spans="1:21" x14ac:dyDescent="0.25">
      <c r="A8" cm="1">
        <f t="array" ref="A8">INDEX(ipopt_output!A:A, (ROW()-2)*$U8+2)</f>
        <v>0</v>
      </c>
      <c r="B8" cm="1">
        <f t="array" ref="B8">INDEX(ipopt_output!B:B, (ROW()-2)*$U8+2)</f>
        <v>0</v>
      </c>
      <c r="C8" t="str">
        <f>IFERROR(AVERAGE(INDEX(ipopt_output!C:C, (ROW()-2)*$U8+2):INDEX(ipopt_output!C:C, (ROW()-2)*$U8 + $U8+1)), "")</f>
        <v/>
      </c>
      <c r="D8" t="str">
        <f>IFERROR(AVERAGE(INDEX(ipopt_output!D:D, (ROW()-2)*$U8+2):INDEX(ipopt_output!D:D, (ROW()-2)*$U8 + $U8+1)), "")</f>
        <v/>
      </c>
      <c r="E8" t="str">
        <f>IFERROR(AVERAGE(INDEX(ipopt_output!E:E, (ROW()-2)*$U8+2):INDEX(ipopt_output!E:E, (ROW()-2)*$U8 + $U8+1)), "")</f>
        <v/>
      </c>
      <c r="F8" t="str">
        <f>IFERROR(AVERAGE(INDEX(ipopt_output!F:F, (ROW()-2)*$U8+2):INDEX(ipopt_output!F:F, (ROW()-2)*$U8 + $U8+1)), "")</f>
        <v/>
      </c>
      <c r="G8" t="str">
        <f>IFERROR(AVERAGE(INDEX(ipopt_output!G:G, (ROW()-2)*$U8+2):INDEX(ipopt_output!G:G, (ROW()-2)*$U8 + $U8+1)), "")</f>
        <v/>
      </c>
      <c r="H8" t="str">
        <f>IFERROR(AVERAGE(INDEX(ipopt_output!H:H, (ROW()-2)*$U8+2):INDEX(ipopt_output!H:H, (ROW()-2)*$U8 + $U8+1)), "")</f>
        <v/>
      </c>
      <c r="I8" t="str">
        <f>IFERROR(AVERAGE(INDEX(ipopt_output!I:I, (ROW()-2)*$U8+2):INDEX(ipopt_output!I:I, (ROW()-2)*$U8 + $U8+1)), "")</f>
        <v/>
      </c>
      <c r="J8" t="str">
        <f>IFERROR(AVERAGE(INDEX(ipopt_output!J:J, (ROW()-2)*$U8+2):INDEX(ipopt_output!J:J, (ROW()-2)*$U8 + $U8+1)), "")</f>
        <v/>
      </c>
      <c r="K8" t="str">
        <f>IFERROR(AVERAGE(INDEX(ipopt_output!K:K, (ROW()-2)*$U8+2):INDEX(ipopt_output!K:K, (ROW()-2)*$U8 + $U8+1)), "")</f>
        <v/>
      </c>
      <c r="L8" t="str">
        <f>IFERROR(AVERAGE(INDEX(ipopt_output!L:L, (ROW()-2)*$U8+2):INDEX(ipopt_output!L:L, (ROW()-2)*$U8 + $U8+1)), "")</f>
        <v/>
      </c>
      <c r="M8" t="str">
        <f>IFERROR(AVERAGE(INDEX(ipopt_output!M:M, (ROW()-2)*$U8+2):INDEX(ipopt_output!M:M, (ROW()-2)*$U8 + $U8+1)), "")</f>
        <v/>
      </c>
      <c r="N8" t="str">
        <f>IFERROR(AVERAGE(INDEX(ipopt_output!N:N, (ROW()-2)*$U8+2):INDEX(ipopt_output!N:N, (ROW()-2)*$U8 + $U8+1)), "")</f>
        <v/>
      </c>
      <c r="O8" t="str">
        <f>IFERROR(AVERAGE(INDEX(ipopt_output!O:O, (ROW()-2)*$U8+2):INDEX(ipopt_output!O:O, (ROW()-2)*$U8 + $U8+1)), "")</f>
        <v/>
      </c>
      <c r="P8" t="str">
        <f>IFERROR(AVERAGE(INDEX(ipopt_output!P:P, (ROW()-2)*$U8+2):INDEX(ipopt_output!P:P, (ROW()-2)*$U8 + $U8+1)), "")</f>
        <v/>
      </c>
      <c r="Q8" t="str">
        <f>IFERROR(AVERAGE(INDEX(ipopt_output!Q:Q, (ROW()-2)*$U8+2):INDEX(ipopt_output!Q:Q, (ROW()-2)*$U8 + $U8+1)), "")</f>
        <v/>
      </c>
      <c r="R8" t="str">
        <f>IFERROR(AVERAGE(INDEX(ipopt_output!R:R, (ROW()-2)*$U8+2):INDEX(ipopt_output!R:R, (ROW()-2)*$U8 + $U8+1)), "")</f>
        <v/>
      </c>
      <c r="S8" t="str">
        <f>IFERROR(AVERAGE(INDEX(ipopt_output!S:S, (ROW()-2)*$U8+2):INDEX(ipopt_output!S:S, (ROW()-2)*$U8 + $U8+1)), "")</f>
        <v/>
      </c>
      <c r="T8" t="str">
        <f>IFERROR(AVERAGE(INDEX(ipopt_output!T:T, (ROW()-2)*$U8+2):INDEX(ipopt_output!T:T, (ROW()-2)*$U8 + $U8+1)), "")</f>
        <v/>
      </c>
      <c r="U8" cm="1">
        <f t="array" ref="U8">COUNTIF(ipopt_output!A:A,INDEX(ipopt_output!A:A,SUM(U$2:U7)+2))</f>
        <v>0</v>
      </c>
    </row>
    <row r="9" spans="1:21" x14ac:dyDescent="0.25">
      <c r="A9" cm="1">
        <f t="array" ref="A9">INDEX(ipopt_output!A:A, (ROW()-2)*$U9+2)</f>
        <v>0</v>
      </c>
      <c r="B9" cm="1">
        <f t="array" ref="B9">INDEX(ipopt_output!B:B, (ROW()-2)*$U9+2)</f>
        <v>0</v>
      </c>
      <c r="C9" t="str">
        <f>IFERROR(AVERAGE(INDEX(ipopt_output!C:C, (ROW()-2)*$U9+2):INDEX(ipopt_output!C:C, (ROW()-2)*$U9 + $U9+1)), "")</f>
        <v/>
      </c>
      <c r="D9" t="str">
        <f>IFERROR(AVERAGE(INDEX(ipopt_output!D:D, (ROW()-2)*$U9+2):INDEX(ipopt_output!D:D, (ROW()-2)*$U9 + $U9+1)), "")</f>
        <v/>
      </c>
      <c r="E9" t="str">
        <f>IFERROR(AVERAGE(INDEX(ipopt_output!E:E, (ROW()-2)*$U9+2):INDEX(ipopt_output!E:E, (ROW()-2)*$U9 + $U9+1)), "")</f>
        <v/>
      </c>
      <c r="F9" t="str">
        <f>IFERROR(AVERAGE(INDEX(ipopt_output!F:F, (ROW()-2)*$U9+2):INDEX(ipopt_output!F:F, (ROW()-2)*$U9 + $U9+1)), "")</f>
        <v/>
      </c>
      <c r="G9" t="str">
        <f>IFERROR(AVERAGE(INDEX(ipopt_output!G:G, (ROW()-2)*$U9+2):INDEX(ipopt_output!G:G, (ROW()-2)*$U9 + $U9+1)), "")</f>
        <v/>
      </c>
      <c r="H9" t="str">
        <f>IFERROR(AVERAGE(INDEX(ipopt_output!H:H, (ROW()-2)*$U9+2):INDEX(ipopt_output!H:H, (ROW()-2)*$U9 + $U9+1)), "")</f>
        <v/>
      </c>
      <c r="I9" t="str">
        <f>IFERROR(AVERAGE(INDEX(ipopt_output!I:I, (ROW()-2)*$U9+2):INDEX(ipopt_output!I:I, (ROW()-2)*$U9 + $U9+1)), "")</f>
        <v/>
      </c>
      <c r="J9" t="str">
        <f>IFERROR(AVERAGE(INDEX(ipopt_output!J:J, (ROW()-2)*$U9+2):INDEX(ipopt_output!J:J, (ROW()-2)*$U9 + $U9+1)), "")</f>
        <v/>
      </c>
      <c r="K9" t="str">
        <f>IFERROR(AVERAGE(INDEX(ipopt_output!K:K, (ROW()-2)*$U9+2):INDEX(ipopt_output!K:K, (ROW()-2)*$U9 + $U9+1)), "")</f>
        <v/>
      </c>
      <c r="L9" t="str">
        <f>IFERROR(AVERAGE(INDEX(ipopt_output!L:L, (ROW()-2)*$U9+2):INDEX(ipopt_output!L:L, (ROW()-2)*$U9 + $U9+1)), "")</f>
        <v/>
      </c>
      <c r="M9" t="str">
        <f>IFERROR(AVERAGE(INDEX(ipopt_output!M:M, (ROW()-2)*$U9+2):INDEX(ipopt_output!M:M, (ROW()-2)*$U9 + $U9+1)), "")</f>
        <v/>
      </c>
      <c r="N9" t="str">
        <f>IFERROR(AVERAGE(INDEX(ipopt_output!N:N, (ROW()-2)*$U9+2):INDEX(ipopt_output!N:N, (ROW()-2)*$U9 + $U9+1)), "")</f>
        <v/>
      </c>
      <c r="O9" t="str">
        <f>IFERROR(AVERAGE(INDEX(ipopt_output!O:O, (ROW()-2)*$U9+2):INDEX(ipopt_output!O:O, (ROW()-2)*$U9 + $U9+1)), "")</f>
        <v/>
      </c>
      <c r="P9" t="str">
        <f>IFERROR(AVERAGE(INDEX(ipopt_output!P:P, (ROW()-2)*$U9+2):INDEX(ipopt_output!P:P, (ROW()-2)*$U9 + $U9+1)), "")</f>
        <v/>
      </c>
      <c r="Q9" t="str">
        <f>IFERROR(AVERAGE(INDEX(ipopt_output!Q:Q, (ROW()-2)*$U9+2):INDEX(ipopt_output!Q:Q, (ROW()-2)*$U9 + $U9+1)), "")</f>
        <v/>
      </c>
      <c r="R9" t="str">
        <f>IFERROR(AVERAGE(INDEX(ipopt_output!R:R, (ROW()-2)*$U9+2):INDEX(ipopt_output!R:R, (ROW()-2)*$U9 + $U9+1)), "")</f>
        <v/>
      </c>
      <c r="S9" t="str">
        <f>IFERROR(AVERAGE(INDEX(ipopt_output!S:S, (ROW()-2)*$U9+2):INDEX(ipopt_output!S:S, (ROW()-2)*$U9 + $U9+1)), "")</f>
        <v/>
      </c>
      <c r="T9" t="str">
        <f>IFERROR(AVERAGE(INDEX(ipopt_output!T:T, (ROW()-2)*$U9+2):INDEX(ipopt_output!T:T, (ROW()-2)*$U9 + $U9+1)), "")</f>
        <v/>
      </c>
      <c r="U9" cm="1">
        <f t="array" ref="U9">COUNTIF(ipopt_output!A:A,INDEX(ipopt_output!A:A,SUM(U$2:U8)+2))</f>
        <v>0</v>
      </c>
    </row>
    <row r="10" spans="1:21" x14ac:dyDescent="0.25">
      <c r="A10" cm="1">
        <f t="array" ref="A10">INDEX(ipopt_output!A:A, (ROW()-2)*$U10+2)</f>
        <v>0</v>
      </c>
      <c r="B10" cm="1">
        <f t="array" ref="B10">INDEX(ipopt_output!B:B, (ROW()-2)*$U10+2)</f>
        <v>0</v>
      </c>
      <c r="C10" t="str">
        <f>IFERROR(AVERAGE(INDEX(ipopt_output!C:C, (ROW()-2)*$U10+2):INDEX(ipopt_output!C:C, (ROW()-2)*$U10 + $U10+1)), "")</f>
        <v/>
      </c>
      <c r="D10" t="str">
        <f>IFERROR(AVERAGE(INDEX(ipopt_output!D:D, (ROW()-2)*$U10+2):INDEX(ipopt_output!D:D, (ROW()-2)*$U10 + $U10+1)), "")</f>
        <v/>
      </c>
      <c r="E10" t="str">
        <f>IFERROR(AVERAGE(INDEX(ipopt_output!E:E, (ROW()-2)*$U10+2):INDEX(ipopt_output!E:E, (ROW()-2)*$U10 + $U10+1)), "")</f>
        <v/>
      </c>
      <c r="F10" t="str">
        <f>IFERROR(AVERAGE(INDEX(ipopt_output!F:F, (ROW()-2)*$U10+2):INDEX(ipopt_output!F:F, (ROW()-2)*$U10 + $U10+1)), "")</f>
        <v/>
      </c>
      <c r="G10" t="str">
        <f>IFERROR(AVERAGE(INDEX(ipopt_output!G:G, (ROW()-2)*$U10+2):INDEX(ipopt_output!G:G, (ROW()-2)*$U10 + $U10+1)), "")</f>
        <v/>
      </c>
      <c r="H10" t="str">
        <f>IFERROR(AVERAGE(INDEX(ipopt_output!H:H, (ROW()-2)*$U10+2):INDEX(ipopt_output!H:H, (ROW()-2)*$U10 + $U10+1)), "")</f>
        <v/>
      </c>
      <c r="I10" t="str">
        <f>IFERROR(AVERAGE(INDEX(ipopt_output!I:I, (ROW()-2)*$U10+2):INDEX(ipopt_output!I:I, (ROW()-2)*$U10 + $U10+1)), "")</f>
        <v/>
      </c>
      <c r="J10" t="str">
        <f>IFERROR(AVERAGE(INDEX(ipopt_output!J:J, (ROW()-2)*$U10+2):INDEX(ipopt_output!J:J, (ROW()-2)*$U10 + $U10+1)), "")</f>
        <v/>
      </c>
      <c r="K10" t="str">
        <f>IFERROR(AVERAGE(INDEX(ipopt_output!K:K, (ROW()-2)*$U10+2):INDEX(ipopt_output!K:K, (ROW()-2)*$U10 + $U10+1)), "")</f>
        <v/>
      </c>
      <c r="L10" t="str">
        <f>IFERROR(AVERAGE(INDEX(ipopt_output!L:L, (ROW()-2)*$U10+2):INDEX(ipopt_output!L:L, (ROW()-2)*$U10 + $U10+1)), "")</f>
        <v/>
      </c>
      <c r="M10" t="str">
        <f>IFERROR(AVERAGE(INDEX(ipopt_output!M:M, (ROW()-2)*$U10+2):INDEX(ipopt_output!M:M, (ROW()-2)*$U10 + $U10+1)), "")</f>
        <v/>
      </c>
      <c r="N10" t="str">
        <f>IFERROR(AVERAGE(INDEX(ipopt_output!N:N, (ROW()-2)*$U10+2):INDEX(ipopt_output!N:N, (ROW()-2)*$U10 + $U10+1)), "")</f>
        <v/>
      </c>
      <c r="O10" t="str">
        <f>IFERROR(AVERAGE(INDEX(ipopt_output!O:O, (ROW()-2)*$U10+2):INDEX(ipopt_output!O:O, (ROW()-2)*$U10 + $U10+1)), "")</f>
        <v/>
      </c>
      <c r="P10" t="str">
        <f>IFERROR(AVERAGE(INDEX(ipopt_output!P:P, (ROW()-2)*$U10+2):INDEX(ipopt_output!P:P, (ROW()-2)*$U10 + $U10+1)), "")</f>
        <v/>
      </c>
      <c r="Q10" t="str">
        <f>IFERROR(AVERAGE(INDEX(ipopt_output!Q:Q, (ROW()-2)*$U10+2):INDEX(ipopt_output!Q:Q, (ROW()-2)*$U10 + $U10+1)), "")</f>
        <v/>
      </c>
      <c r="R10" t="str">
        <f>IFERROR(AVERAGE(INDEX(ipopt_output!R:R, (ROW()-2)*$U10+2):INDEX(ipopt_output!R:R, (ROW()-2)*$U10 + $U10+1)), "")</f>
        <v/>
      </c>
      <c r="S10" t="str">
        <f>IFERROR(AVERAGE(INDEX(ipopt_output!S:S, (ROW()-2)*$U10+2):INDEX(ipopt_output!S:S, (ROW()-2)*$U10 + $U10+1)), "")</f>
        <v/>
      </c>
      <c r="T10" t="str">
        <f>IFERROR(AVERAGE(INDEX(ipopt_output!T:T, (ROW()-2)*$U10+2):INDEX(ipopt_output!T:T, (ROW()-2)*$U10 + $U10+1)), "")</f>
        <v/>
      </c>
      <c r="U10" cm="1">
        <f t="array" ref="U10">COUNTIF(ipopt_output!A:A,INDEX(ipopt_output!A:A,SUM(U$2:U9)+2))</f>
        <v>0</v>
      </c>
    </row>
    <row r="11" spans="1:21" x14ac:dyDescent="0.25">
      <c r="A11" cm="1">
        <f t="array" ref="A11">INDEX(ipopt_output!A:A, (ROW()-2)*$U11+2)</f>
        <v>0</v>
      </c>
      <c r="B11" cm="1">
        <f t="array" ref="B11">INDEX(ipopt_output!B:B, (ROW()-2)*$U11+2)</f>
        <v>0</v>
      </c>
      <c r="C11" t="str">
        <f>IFERROR(AVERAGE(INDEX(ipopt_output!C:C, (ROW()-2)*$U11+2):INDEX(ipopt_output!C:C, (ROW()-2)*$U11 + $U11+1)), "")</f>
        <v/>
      </c>
      <c r="D11" t="str">
        <f>IFERROR(AVERAGE(INDEX(ipopt_output!D:D, (ROW()-2)*$U11+2):INDEX(ipopt_output!D:D, (ROW()-2)*$U11 + $U11+1)), "")</f>
        <v/>
      </c>
      <c r="E11" t="str">
        <f>IFERROR(AVERAGE(INDEX(ipopt_output!E:E, (ROW()-2)*$U11+2):INDEX(ipopt_output!E:E, (ROW()-2)*$U11 + $U11+1)), "")</f>
        <v/>
      </c>
      <c r="F11" t="str">
        <f>IFERROR(AVERAGE(INDEX(ipopt_output!F:F, (ROW()-2)*$U11+2):INDEX(ipopt_output!F:F, (ROW()-2)*$U11 + $U11+1)), "")</f>
        <v/>
      </c>
      <c r="G11" t="str">
        <f>IFERROR(AVERAGE(INDEX(ipopt_output!G:G, (ROW()-2)*$U11+2):INDEX(ipopt_output!G:G, (ROW()-2)*$U11 + $U11+1)), "")</f>
        <v/>
      </c>
      <c r="H11" t="str">
        <f>IFERROR(AVERAGE(INDEX(ipopt_output!H:H, (ROW()-2)*$U11+2):INDEX(ipopt_output!H:H, (ROW()-2)*$U11 + $U11+1)), "")</f>
        <v/>
      </c>
      <c r="I11" t="str">
        <f>IFERROR(AVERAGE(INDEX(ipopt_output!I:I, (ROW()-2)*$U11+2):INDEX(ipopt_output!I:I, (ROW()-2)*$U11 + $U11+1)), "")</f>
        <v/>
      </c>
      <c r="J11" t="str">
        <f>IFERROR(AVERAGE(INDEX(ipopt_output!J:J, (ROW()-2)*$U11+2):INDEX(ipopt_output!J:J, (ROW()-2)*$U11 + $U11+1)), "")</f>
        <v/>
      </c>
      <c r="K11" t="str">
        <f>IFERROR(AVERAGE(INDEX(ipopt_output!K:K, (ROW()-2)*$U11+2):INDEX(ipopt_output!K:K, (ROW()-2)*$U11 + $U11+1)), "")</f>
        <v/>
      </c>
      <c r="L11" t="str">
        <f>IFERROR(AVERAGE(INDEX(ipopt_output!L:L, (ROW()-2)*$U11+2):INDEX(ipopt_output!L:L, (ROW()-2)*$U11 + $U11+1)), "")</f>
        <v/>
      </c>
      <c r="M11" t="str">
        <f>IFERROR(AVERAGE(INDEX(ipopt_output!M:M, (ROW()-2)*$U11+2):INDEX(ipopt_output!M:M, (ROW()-2)*$U11 + $U11+1)), "")</f>
        <v/>
      </c>
      <c r="N11" t="str">
        <f>IFERROR(AVERAGE(INDEX(ipopt_output!N:N, (ROW()-2)*$U11+2):INDEX(ipopt_output!N:N, (ROW()-2)*$U11 + $U11+1)), "")</f>
        <v/>
      </c>
      <c r="O11" t="str">
        <f>IFERROR(AVERAGE(INDEX(ipopt_output!O:O, (ROW()-2)*$U11+2):INDEX(ipopt_output!O:O, (ROW()-2)*$U11 + $U11+1)), "")</f>
        <v/>
      </c>
      <c r="P11" t="str">
        <f>IFERROR(AVERAGE(INDEX(ipopt_output!P:P, (ROW()-2)*$U11+2):INDEX(ipopt_output!P:P, (ROW()-2)*$U11 + $U11+1)), "")</f>
        <v/>
      </c>
      <c r="Q11" t="str">
        <f>IFERROR(AVERAGE(INDEX(ipopt_output!Q:Q, (ROW()-2)*$U11+2):INDEX(ipopt_output!Q:Q, (ROW()-2)*$U11 + $U11+1)), "")</f>
        <v/>
      </c>
      <c r="R11" t="str">
        <f>IFERROR(AVERAGE(INDEX(ipopt_output!R:R, (ROW()-2)*$U11+2):INDEX(ipopt_output!R:R, (ROW()-2)*$U11 + $U11+1)), "")</f>
        <v/>
      </c>
      <c r="S11" t="str">
        <f>IFERROR(AVERAGE(INDEX(ipopt_output!S:S, (ROW()-2)*$U11+2):INDEX(ipopt_output!S:S, (ROW()-2)*$U11 + $U11+1)), "")</f>
        <v/>
      </c>
      <c r="T11" t="str">
        <f>IFERROR(AVERAGE(INDEX(ipopt_output!T:T, (ROW()-2)*$U11+2):INDEX(ipopt_output!T:T, (ROW()-2)*$U11 + $U11+1)), "")</f>
        <v/>
      </c>
      <c r="U11" cm="1">
        <f t="array" ref="U11">COUNTIF(ipopt_output!A:A,INDEX(ipopt_output!A:A,SUM(U$2:U10)+2))</f>
        <v>0</v>
      </c>
    </row>
    <row r="12" spans="1:21" x14ac:dyDescent="0.25">
      <c r="A12" cm="1">
        <f t="array" ref="A12">INDEX(ipopt_output!A:A, (ROW()-2)*$U12+2)</f>
        <v>0</v>
      </c>
      <c r="B12" cm="1">
        <f t="array" ref="B12">INDEX(ipopt_output!B:B, (ROW()-2)*$U12+2)</f>
        <v>0</v>
      </c>
      <c r="C12" t="str">
        <f>IFERROR(AVERAGE(INDEX(ipopt_output!C:C, (ROW()-2)*$U12+2):INDEX(ipopt_output!C:C, (ROW()-2)*$U12 + $U12+1)), "")</f>
        <v/>
      </c>
      <c r="D12" t="str">
        <f>IFERROR(AVERAGE(INDEX(ipopt_output!D:D, (ROW()-2)*$U12+2):INDEX(ipopt_output!D:D, (ROW()-2)*$U12 + $U12+1)), "")</f>
        <v/>
      </c>
      <c r="E12" t="str">
        <f>IFERROR(AVERAGE(INDEX(ipopt_output!E:E, (ROW()-2)*$U12+2):INDEX(ipopt_output!E:E, (ROW()-2)*$U12 + $U12+1)), "")</f>
        <v/>
      </c>
      <c r="F12" t="str">
        <f>IFERROR(AVERAGE(INDEX(ipopt_output!F:F, (ROW()-2)*$U12+2):INDEX(ipopt_output!F:F, (ROW()-2)*$U12 + $U12+1)), "")</f>
        <v/>
      </c>
      <c r="G12" t="str">
        <f>IFERROR(AVERAGE(INDEX(ipopt_output!G:G, (ROW()-2)*$U12+2):INDEX(ipopt_output!G:G, (ROW()-2)*$U12 + $U12+1)), "")</f>
        <v/>
      </c>
      <c r="H12" t="str">
        <f>IFERROR(AVERAGE(INDEX(ipopt_output!H:H, (ROW()-2)*$U12+2):INDEX(ipopt_output!H:H, (ROW()-2)*$U12 + $U12+1)), "")</f>
        <v/>
      </c>
      <c r="I12" t="str">
        <f>IFERROR(AVERAGE(INDEX(ipopt_output!I:I, (ROW()-2)*$U12+2):INDEX(ipopt_output!I:I, (ROW()-2)*$U12 + $U12+1)), "")</f>
        <v/>
      </c>
      <c r="J12" t="str">
        <f>IFERROR(AVERAGE(INDEX(ipopt_output!J:J, (ROW()-2)*$U12+2):INDEX(ipopt_output!J:J, (ROW()-2)*$U12 + $U12+1)), "")</f>
        <v/>
      </c>
      <c r="K12" t="str">
        <f>IFERROR(AVERAGE(INDEX(ipopt_output!K:K, (ROW()-2)*$U12+2):INDEX(ipopt_output!K:K, (ROW()-2)*$U12 + $U12+1)), "")</f>
        <v/>
      </c>
      <c r="L12" t="str">
        <f>IFERROR(AVERAGE(INDEX(ipopt_output!L:L, (ROW()-2)*$U12+2):INDEX(ipopt_output!L:L, (ROW()-2)*$U12 + $U12+1)), "")</f>
        <v/>
      </c>
      <c r="M12" t="str">
        <f>IFERROR(AVERAGE(INDEX(ipopt_output!M:M, (ROW()-2)*$U12+2):INDEX(ipopt_output!M:M, (ROW()-2)*$U12 + $U12+1)), "")</f>
        <v/>
      </c>
      <c r="N12" t="str">
        <f>IFERROR(AVERAGE(INDEX(ipopt_output!N:N, (ROW()-2)*$U12+2):INDEX(ipopt_output!N:N, (ROW()-2)*$U12 + $U12+1)), "")</f>
        <v/>
      </c>
      <c r="O12" t="str">
        <f>IFERROR(AVERAGE(INDEX(ipopt_output!O:O, (ROW()-2)*$U12+2):INDEX(ipopt_output!O:O, (ROW()-2)*$U12 + $U12+1)), "")</f>
        <v/>
      </c>
      <c r="P12" t="str">
        <f>IFERROR(AVERAGE(INDEX(ipopt_output!P:P, (ROW()-2)*$U12+2):INDEX(ipopt_output!P:P, (ROW()-2)*$U12 + $U12+1)), "")</f>
        <v/>
      </c>
      <c r="Q12" t="str">
        <f>IFERROR(AVERAGE(INDEX(ipopt_output!Q:Q, (ROW()-2)*$U12+2):INDEX(ipopt_output!Q:Q, (ROW()-2)*$U12 + $U12+1)), "")</f>
        <v/>
      </c>
      <c r="R12" t="str">
        <f>IFERROR(AVERAGE(INDEX(ipopt_output!R:R, (ROW()-2)*$U12+2):INDEX(ipopt_output!R:R, (ROW()-2)*$U12 + $U12+1)), "")</f>
        <v/>
      </c>
      <c r="S12" t="str">
        <f>IFERROR(AVERAGE(INDEX(ipopt_output!S:S, (ROW()-2)*$U12+2):INDEX(ipopt_output!S:S, (ROW()-2)*$U12 + $U12+1)), "")</f>
        <v/>
      </c>
      <c r="T12" t="str">
        <f>IFERROR(AVERAGE(INDEX(ipopt_output!T:T, (ROW()-2)*$U12+2):INDEX(ipopt_output!T:T, (ROW()-2)*$U12 + $U12+1)), "")</f>
        <v/>
      </c>
      <c r="U12" cm="1">
        <f t="array" ref="U12">COUNTIF(ipopt_output!A:A,INDEX(ipopt_output!A:A,SUM(U$2:U11)+2))</f>
        <v>0</v>
      </c>
    </row>
    <row r="13" spans="1:21" x14ac:dyDescent="0.25">
      <c r="A13" cm="1">
        <f t="array" ref="A13">INDEX(ipopt_output!A:A, (ROW()-2)*$U13+2)</f>
        <v>0</v>
      </c>
      <c r="B13" cm="1">
        <f t="array" ref="B13">INDEX(ipopt_output!B:B, (ROW()-2)*$U13+2)</f>
        <v>0</v>
      </c>
      <c r="C13" t="str">
        <f>IFERROR(AVERAGE(INDEX(ipopt_output!C:C, (ROW()-2)*$U13+2):INDEX(ipopt_output!C:C, (ROW()-2)*$U13 + $U13+1)), "")</f>
        <v/>
      </c>
      <c r="D13" t="str">
        <f>IFERROR(AVERAGE(INDEX(ipopt_output!D:D, (ROW()-2)*$U13+2):INDEX(ipopt_output!D:D, (ROW()-2)*$U13 + $U13+1)), "")</f>
        <v/>
      </c>
      <c r="E13" t="str">
        <f>IFERROR(AVERAGE(INDEX(ipopt_output!E:E, (ROW()-2)*$U13+2):INDEX(ipopt_output!E:E, (ROW()-2)*$U13 + $U13+1)), "")</f>
        <v/>
      </c>
      <c r="F13" t="str">
        <f>IFERROR(AVERAGE(INDEX(ipopt_output!F:F, (ROW()-2)*$U13+2):INDEX(ipopt_output!F:F, (ROW()-2)*$U13 + $U13+1)), "")</f>
        <v/>
      </c>
      <c r="G13" t="str">
        <f>IFERROR(AVERAGE(INDEX(ipopt_output!G:G, (ROW()-2)*$U13+2):INDEX(ipopt_output!G:G, (ROW()-2)*$U13 + $U13+1)), "")</f>
        <v/>
      </c>
      <c r="H13" t="str">
        <f>IFERROR(AVERAGE(INDEX(ipopt_output!H:H, (ROW()-2)*$U13+2):INDEX(ipopt_output!H:H, (ROW()-2)*$U13 + $U13+1)), "")</f>
        <v/>
      </c>
      <c r="I13" t="str">
        <f>IFERROR(AVERAGE(INDEX(ipopt_output!I:I, (ROW()-2)*$U13+2):INDEX(ipopt_output!I:I, (ROW()-2)*$U13 + $U13+1)), "")</f>
        <v/>
      </c>
      <c r="J13" t="str">
        <f>IFERROR(AVERAGE(INDEX(ipopt_output!J:J, (ROW()-2)*$U13+2):INDEX(ipopt_output!J:J, (ROW()-2)*$U13 + $U13+1)), "")</f>
        <v/>
      </c>
      <c r="K13" t="str">
        <f>IFERROR(AVERAGE(INDEX(ipopt_output!K:K, (ROW()-2)*$U13+2):INDEX(ipopt_output!K:K, (ROW()-2)*$U13 + $U13+1)), "")</f>
        <v/>
      </c>
      <c r="L13" t="str">
        <f>IFERROR(AVERAGE(INDEX(ipopt_output!L:L, (ROW()-2)*$U13+2):INDEX(ipopt_output!L:L, (ROW()-2)*$U13 + $U13+1)), "")</f>
        <v/>
      </c>
      <c r="M13" t="str">
        <f>IFERROR(AVERAGE(INDEX(ipopt_output!M:M, (ROW()-2)*$U13+2):INDEX(ipopt_output!M:M, (ROW()-2)*$U13 + $U13+1)), "")</f>
        <v/>
      </c>
      <c r="N13" t="str">
        <f>IFERROR(AVERAGE(INDEX(ipopt_output!N:N, (ROW()-2)*$U13+2):INDEX(ipopt_output!N:N, (ROW()-2)*$U13 + $U13+1)), "")</f>
        <v/>
      </c>
      <c r="O13" t="str">
        <f>IFERROR(AVERAGE(INDEX(ipopt_output!O:O, (ROW()-2)*$U13+2):INDEX(ipopt_output!O:O, (ROW()-2)*$U13 + $U13+1)), "")</f>
        <v/>
      </c>
      <c r="P13" t="str">
        <f>IFERROR(AVERAGE(INDEX(ipopt_output!P:P, (ROW()-2)*$U13+2):INDEX(ipopt_output!P:P, (ROW()-2)*$U13 + $U13+1)), "")</f>
        <v/>
      </c>
      <c r="Q13" t="str">
        <f>IFERROR(AVERAGE(INDEX(ipopt_output!Q:Q, (ROW()-2)*$U13+2):INDEX(ipopt_output!Q:Q, (ROW()-2)*$U13 + $U13+1)), "")</f>
        <v/>
      </c>
      <c r="R13" t="str">
        <f>IFERROR(AVERAGE(INDEX(ipopt_output!R:R, (ROW()-2)*$U13+2):INDEX(ipopt_output!R:R, (ROW()-2)*$U13 + $U13+1)), "")</f>
        <v/>
      </c>
      <c r="S13" t="str">
        <f>IFERROR(AVERAGE(INDEX(ipopt_output!S:S, (ROW()-2)*$U13+2):INDEX(ipopt_output!S:S, (ROW()-2)*$U13 + $U13+1)), "")</f>
        <v/>
      </c>
      <c r="T13" t="str">
        <f>IFERROR(AVERAGE(INDEX(ipopt_output!T:T, (ROW()-2)*$U13+2):INDEX(ipopt_output!T:T, (ROW()-2)*$U13 + $U13+1)), "")</f>
        <v/>
      </c>
      <c r="U13" cm="1">
        <f t="array" ref="U13">COUNTIF(ipopt_output!A:A,INDEX(ipopt_output!A:A,SUM(U$2:U12)+2))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E7C0-ABEA-4313-884B-8140DD8DD145}">
  <dimension ref="A1:T13"/>
  <sheetViews>
    <sheetView zoomScale="140" zoomScaleNormal="140" workbookViewId="0">
      <selection activeCell="A5" sqref="A5"/>
    </sheetView>
  </sheetViews>
  <sheetFormatPr defaultRowHeight="15" x14ac:dyDescent="0.25"/>
  <cols>
    <col min="1" max="1" width="24.140625" bestFit="1" customWidth="1"/>
    <col min="2" max="2" width="12" customWidth="1"/>
    <col min="4" max="4" width="19.140625" bestFit="1" customWidth="1"/>
    <col min="5" max="5" width="20.85546875" bestFit="1" customWidth="1"/>
    <col min="6" max="6" width="9.42578125" bestFit="1" customWidth="1"/>
    <col min="7" max="7" width="18.140625" bestFit="1" customWidth="1"/>
    <col min="8" max="8" width="28.140625" bestFit="1" customWidth="1"/>
    <col min="9" max="9" width="14.7109375" bestFit="1" customWidth="1"/>
    <col min="10" max="13" width="13.28515625" bestFit="1" customWidth="1"/>
    <col min="14" max="14" width="5.85546875" bestFit="1" customWidth="1"/>
    <col min="15" max="15" width="6.85546875" bestFit="1" customWidth="1"/>
    <col min="16" max="16" width="6.42578125" bestFit="1" customWidth="1"/>
    <col min="17" max="17" width="7.42578125" bestFit="1" customWidth="1"/>
    <col min="18" max="18" width="13.28515625" bestFit="1" customWidth="1"/>
    <col min="19" max="19" width="8.7109375" bestFit="1" customWidth="1"/>
    <col min="20" max="20" width="13.7109375" bestFit="1" customWidth="1"/>
  </cols>
  <sheetData>
    <row r="1" spans="1:20" x14ac:dyDescent="0.25">
      <c r="A1" t="str">
        <f>ipopt_output!A1</f>
        <v>Column1</v>
      </c>
      <c r="B1" t="str">
        <f>ipopt_output!B1</f>
        <v>Column2</v>
      </c>
      <c r="C1" t="str">
        <f>ipopt_output!C1</f>
        <v>Column3</v>
      </c>
      <c r="D1" t="str">
        <f>ipopt_output!D1</f>
        <v>Column4</v>
      </c>
      <c r="E1" t="str">
        <f>ipopt_output!E1</f>
        <v>Column5</v>
      </c>
      <c r="F1" t="str">
        <f>ipopt_output!F1</f>
        <v>Column6</v>
      </c>
      <c r="G1" t="str">
        <f>ipopt_output!G1</f>
        <v>Column7</v>
      </c>
      <c r="H1" t="str">
        <f>ipopt_output!H1</f>
        <v>Column8</v>
      </c>
      <c r="I1" t="str">
        <f>ipopt_output!I1</f>
        <v>Column9</v>
      </c>
      <c r="J1" t="str">
        <f>ipopt_output!J1</f>
        <v>Column10</v>
      </c>
      <c r="K1" t="str">
        <f>ipopt_output!K1</f>
        <v>Column11</v>
      </c>
      <c r="L1" t="str">
        <f>ipopt_output!L1</f>
        <v>Column12</v>
      </c>
      <c r="M1" t="str">
        <f>ipopt_output!M1</f>
        <v>Column13</v>
      </c>
      <c r="N1" t="str">
        <f>ipopt_output!N1</f>
        <v>Column14</v>
      </c>
      <c r="O1" t="str">
        <f>ipopt_output!O1</f>
        <v>Column15</v>
      </c>
      <c r="P1" t="str">
        <f>ipopt_output!P1</f>
        <v>Column16</v>
      </c>
      <c r="Q1" t="str">
        <f>ipopt_output!Q1</f>
        <v>Column17</v>
      </c>
      <c r="R1" t="str">
        <f>ipopt_output!R1</f>
        <v>Column18</v>
      </c>
      <c r="S1" t="str">
        <f>ipopt_output!S1</f>
        <v>Column19</v>
      </c>
      <c r="T1" t="str">
        <f>ipopt_output!T1</f>
        <v>Column20</v>
      </c>
    </row>
    <row r="2" spans="1:20" x14ac:dyDescent="0.25">
      <c r="A2" cm="1">
        <f t="array" ref="A2">INDEX(ipopt_output!A:A, (ROW()-2)*averages!$U2+2)</f>
        <v>0</v>
      </c>
      <c r="B2" cm="1">
        <f t="array" ref="B2">INDEX(ipopt_output!B:B, (ROW()-2)*averages!$U2+2)</f>
        <v>0</v>
      </c>
      <c r="C2" t="str">
        <f>IFERROR(_xlfn.STDEV.S(INDEX(ipopt_output!C:C, (ROW()-2)*averages!$U2+2):INDEX(ipopt_output!C:C, (ROW()-2)*averages!$U2+averages!$U2+1)), "")</f>
        <v/>
      </c>
      <c r="D2" t="str">
        <f>IFERROR(_xlfn.STDEV.S(INDEX(ipopt_output!D:D, (ROW()-2)*averages!$U2+2):INDEX(ipopt_output!D:D, (ROW()-2)*averages!$U2+averages!$U2+1)), "")</f>
        <v/>
      </c>
      <c r="E2" t="str">
        <f>IFERROR(_xlfn.STDEV.S(INDEX(ipopt_output!E:E, (ROW()-2)*averages!$U2+2):INDEX(ipopt_output!E:E, (ROW()-2)*averages!$U2+averages!$U2+1)), "")</f>
        <v/>
      </c>
      <c r="F2" t="str">
        <f>IFERROR(_xlfn.STDEV.S(INDEX(ipopt_output!F:F, (ROW()-2)*averages!$U2+2):INDEX(ipopt_output!F:F, (ROW()-2)*averages!$U2+averages!$U2+1)), "")</f>
        <v/>
      </c>
      <c r="G2" t="str">
        <f>IFERROR(_xlfn.STDEV.S(INDEX(ipopt_output!G:G, (ROW()-2)*averages!$U2+2):INDEX(ipopt_output!G:G, (ROW()-2)*averages!$U2+averages!$U2+1)), "")</f>
        <v/>
      </c>
      <c r="H2" t="str">
        <f>IFERROR(_xlfn.STDEV.S(INDEX(ipopt_output!H:H, (ROW()-2)*averages!$U2+2):INDEX(ipopt_output!H:H, (ROW()-2)*averages!$U2+averages!$U2+1)), "")</f>
        <v/>
      </c>
      <c r="I2" t="str">
        <f>IFERROR(_xlfn.STDEV.S(INDEX(ipopt_output!I:I, (ROW()-2)*averages!$U2+2):INDEX(ipopt_output!I:I, (ROW()-2)*averages!$U2+averages!$U2+1)), "")</f>
        <v/>
      </c>
      <c r="J2" t="str">
        <f>IFERROR(_xlfn.STDEV.S(INDEX(ipopt_output!J:J, (ROW()-2)*averages!$U2+2):INDEX(ipopt_output!J:J, (ROW()-2)*averages!$U2+averages!$U2+1)), "")</f>
        <v/>
      </c>
      <c r="K2" t="str">
        <f>IFERROR(_xlfn.STDEV.S(INDEX(ipopt_output!K:K, (ROW()-2)*averages!$U2+2):INDEX(ipopt_output!K:K, (ROW()-2)*averages!$U2+averages!$U2+1)), "")</f>
        <v/>
      </c>
      <c r="L2" t="str">
        <f>IFERROR(_xlfn.STDEV.S(INDEX(ipopt_output!L:L, (ROW()-2)*averages!$U2+2):INDEX(ipopt_output!L:L, (ROW()-2)*averages!$U2+averages!$U2+1)), "")</f>
        <v/>
      </c>
      <c r="M2" t="str">
        <f>IFERROR(_xlfn.STDEV.S(INDEX(ipopt_output!M:M, (ROW()-2)*averages!$U2+2):INDEX(ipopt_output!M:M, (ROW()-2)*averages!$U2+averages!$U2+1)), "")</f>
        <v/>
      </c>
      <c r="N2" t="str">
        <f>IFERROR(_xlfn.STDEV.S(INDEX(ipopt_output!N:N, (ROW()-2)*averages!$U2+2):INDEX(ipopt_output!N:N, (ROW()-2)*averages!$U2+averages!$U2+1)), "")</f>
        <v/>
      </c>
      <c r="O2" t="str">
        <f>IFERROR(_xlfn.STDEV.S(INDEX(ipopt_output!O:O, (ROW()-2)*averages!$U2+2):INDEX(ipopt_output!O:O, (ROW()-2)*averages!$U2+averages!$U2+1)), "")</f>
        <v/>
      </c>
      <c r="P2" t="str">
        <f>IFERROR(_xlfn.STDEV.S(INDEX(ipopt_output!P:P, (ROW()-2)*averages!$U2+2):INDEX(ipopt_output!P:P, (ROW()-2)*averages!$U2+averages!$U2+1)), "")</f>
        <v/>
      </c>
      <c r="Q2" t="str">
        <f>IFERROR(_xlfn.STDEV.S(INDEX(ipopt_output!Q:Q, (ROW()-2)*averages!$U2+2):INDEX(ipopt_output!Q:Q, (ROW()-2)*averages!$U2+averages!$U2+1)), "")</f>
        <v/>
      </c>
      <c r="R2" t="str">
        <f>IFERROR(_xlfn.STDEV.S(INDEX(ipopt_output!R:R, (ROW()-2)*averages!$U2+2):INDEX(ipopt_output!R:R, (ROW()-2)*averages!$U2+averages!$U2+1)), "")</f>
        <v/>
      </c>
      <c r="S2" t="str">
        <f>IFERROR(_xlfn.STDEV.S(INDEX(ipopt_output!S:S, (ROW()-2)*averages!$U2+2):INDEX(ipopt_output!S:S, (ROW()-2)*averages!$U2+averages!$U2+1)), "")</f>
        <v/>
      </c>
      <c r="T2" t="str">
        <f>IFERROR(_xlfn.STDEV.S(INDEX(ipopt_output!T:T, (ROW()-2)*averages!$U2+2):INDEX(ipopt_output!T:T, (ROW()-2)*averages!$U2+averages!$U2+1)), "")</f>
        <v/>
      </c>
    </row>
    <row r="3" spans="1:20" x14ac:dyDescent="0.25">
      <c r="A3" cm="1">
        <f t="array" ref="A3">INDEX(ipopt_output!A:A, (ROW()-2)*averages!$U3+2)</f>
        <v>0</v>
      </c>
      <c r="B3" cm="1">
        <f t="array" ref="B3">INDEX(ipopt_output!B:B, (ROW()-2)*averages!$U3+2)</f>
        <v>0</v>
      </c>
      <c r="C3" t="str">
        <f>IFERROR(_xlfn.STDEV.S(INDEX(ipopt_output!C:C, (ROW()-2)*averages!$U3+2):INDEX(ipopt_output!C:C, (ROW()-2)*averages!$U3+averages!$U3+1)), "")</f>
        <v/>
      </c>
      <c r="D3" t="str">
        <f>IFERROR(_xlfn.STDEV.S(INDEX(ipopt_output!D:D, (ROW()-2)*averages!$U3+2):INDEX(ipopt_output!D:D, (ROW()-2)*averages!$U3+averages!$U3+1)), "")</f>
        <v/>
      </c>
      <c r="E3" t="str">
        <f>IFERROR(_xlfn.STDEV.S(INDEX(ipopt_output!E:E, (ROW()-2)*averages!$U3+2):INDEX(ipopt_output!E:E, (ROW()-2)*averages!$U3+averages!$U3+1)), "")</f>
        <v/>
      </c>
      <c r="F3" t="str">
        <f>IFERROR(_xlfn.STDEV.S(INDEX(ipopt_output!F:F, (ROW()-2)*averages!$U3+2):INDEX(ipopt_output!F:F, (ROW()-2)*averages!$U3+averages!$U3+1)), "")</f>
        <v/>
      </c>
      <c r="G3" t="str">
        <f>IFERROR(_xlfn.STDEV.S(INDEX(ipopt_output!G:G, (ROW()-2)*averages!$U3+2):INDEX(ipopt_output!G:G, (ROW()-2)*averages!$U3+averages!$U3+1)), "")</f>
        <v/>
      </c>
      <c r="H3" t="str">
        <f>IFERROR(_xlfn.STDEV.S(INDEX(ipopt_output!H:H, (ROW()-2)*averages!$U3+2):INDEX(ipopt_output!H:H, (ROW()-2)*averages!$U3+averages!$U3+1)), "")</f>
        <v/>
      </c>
      <c r="I3" t="str">
        <f>IFERROR(_xlfn.STDEV.S(INDEX(ipopt_output!I:I, (ROW()-2)*averages!$U3+2):INDEX(ipopt_output!I:I, (ROW()-2)*averages!$U3+averages!$U3+1)), "")</f>
        <v/>
      </c>
      <c r="J3" t="str">
        <f>IFERROR(_xlfn.STDEV.S(INDEX(ipopt_output!J:J, (ROW()-2)*averages!$U3+2):INDEX(ipopt_output!J:J, (ROW()-2)*averages!$U3+averages!$U3+1)), "")</f>
        <v/>
      </c>
      <c r="K3" t="str">
        <f>IFERROR(_xlfn.STDEV.S(INDEX(ipopt_output!K:K, (ROW()-2)*averages!$U3+2):INDEX(ipopt_output!K:K, (ROW()-2)*averages!$U3+averages!$U3+1)), "")</f>
        <v/>
      </c>
      <c r="L3" t="str">
        <f>IFERROR(_xlfn.STDEV.S(INDEX(ipopt_output!L:L, (ROW()-2)*averages!$U3+2):INDEX(ipopt_output!L:L, (ROW()-2)*averages!$U3+averages!$U3+1)), "")</f>
        <v/>
      </c>
      <c r="M3" t="str">
        <f>IFERROR(_xlfn.STDEV.S(INDEX(ipopt_output!M:M, (ROW()-2)*averages!$U3+2):INDEX(ipopt_output!M:M, (ROW()-2)*averages!$U3+averages!$U3+1)), "")</f>
        <v/>
      </c>
      <c r="N3" t="str">
        <f>IFERROR(_xlfn.STDEV.S(INDEX(ipopt_output!N:N, (ROW()-2)*averages!$U3+2):INDEX(ipopt_output!N:N, (ROW()-2)*averages!$U3+averages!$U3+1)), "")</f>
        <v/>
      </c>
      <c r="O3" t="str">
        <f>IFERROR(_xlfn.STDEV.S(INDEX(ipopt_output!O:O, (ROW()-2)*averages!$U3+2):INDEX(ipopt_output!O:O, (ROW()-2)*averages!$U3+averages!$U3+1)), "")</f>
        <v/>
      </c>
      <c r="P3" t="str">
        <f>IFERROR(_xlfn.STDEV.S(INDEX(ipopt_output!P:P, (ROW()-2)*averages!$U3+2):INDEX(ipopt_output!P:P, (ROW()-2)*averages!$U3+averages!$U3+1)), "")</f>
        <v/>
      </c>
      <c r="Q3" t="str">
        <f>IFERROR(_xlfn.STDEV.S(INDEX(ipopt_output!Q:Q, (ROW()-2)*averages!$U3+2):INDEX(ipopt_output!Q:Q, (ROW()-2)*averages!$U3+averages!$U3+1)), "")</f>
        <v/>
      </c>
      <c r="R3" t="str">
        <f>IFERROR(_xlfn.STDEV.S(INDEX(ipopt_output!R:R, (ROW()-2)*averages!$U3+2):INDEX(ipopt_output!R:R, (ROW()-2)*averages!$U3+averages!$U3+1)), "")</f>
        <v/>
      </c>
      <c r="S3" t="str">
        <f>IFERROR(_xlfn.STDEV.S(INDEX(ipopt_output!S:S, (ROW()-2)*averages!$U3+2):INDEX(ipopt_output!S:S, (ROW()-2)*averages!$U3+averages!$U3+1)), "")</f>
        <v/>
      </c>
      <c r="T3" t="str">
        <f>IFERROR(_xlfn.STDEV.S(INDEX(ipopt_output!T:T, (ROW()-2)*averages!$U3+2):INDEX(ipopt_output!T:T, (ROW()-2)*averages!$U3+averages!$U3+1)), "")</f>
        <v/>
      </c>
    </row>
    <row r="4" spans="1:20" x14ac:dyDescent="0.25">
      <c r="A4" cm="1">
        <f t="array" ref="A4">INDEX(ipopt_output!A:A, (ROW()-2)*averages!$U4+2)</f>
        <v>0</v>
      </c>
      <c r="B4" cm="1">
        <f t="array" ref="B4">INDEX(ipopt_output!B:B, (ROW()-2)*averages!$U4+2)</f>
        <v>0</v>
      </c>
      <c r="C4" t="str">
        <f>IFERROR(_xlfn.STDEV.S(INDEX(ipopt_output!C:C, (ROW()-2)*averages!$U4+2):INDEX(ipopt_output!C:C, (ROW()-2)*averages!$U4+averages!$U4+1)), "")</f>
        <v/>
      </c>
      <c r="D4" t="str">
        <f>IFERROR(_xlfn.STDEV.S(INDEX(ipopt_output!D:D, (ROW()-2)*averages!$U4+2):INDEX(ipopt_output!D:D, (ROW()-2)*averages!$U4+averages!$U4+1)), "")</f>
        <v/>
      </c>
      <c r="E4" t="str">
        <f>IFERROR(_xlfn.STDEV.S(INDEX(ipopt_output!E:E, (ROW()-2)*averages!$U4+2):INDEX(ipopt_output!E:E, (ROW()-2)*averages!$U4+averages!$U4+1)), "")</f>
        <v/>
      </c>
      <c r="F4" t="str">
        <f>IFERROR(_xlfn.STDEV.S(INDEX(ipopt_output!F:F, (ROW()-2)*averages!$U4+2):INDEX(ipopt_output!F:F, (ROW()-2)*averages!$U4+averages!$U4+1)), "")</f>
        <v/>
      </c>
      <c r="G4" t="str">
        <f>IFERROR(_xlfn.STDEV.S(INDEX(ipopt_output!G:G, (ROW()-2)*averages!$U4+2):INDEX(ipopt_output!G:G, (ROW()-2)*averages!$U4+averages!$U4+1)), "")</f>
        <v/>
      </c>
      <c r="H4" t="str">
        <f>IFERROR(_xlfn.STDEV.S(INDEX(ipopt_output!H:H, (ROW()-2)*averages!$U4+2):INDEX(ipopt_output!H:H, (ROW()-2)*averages!$U4+averages!$U4+1)), "")</f>
        <v/>
      </c>
      <c r="I4" t="str">
        <f>IFERROR(_xlfn.STDEV.S(INDEX(ipopt_output!I:I, (ROW()-2)*averages!$U4+2):INDEX(ipopt_output!I:I, (ROW()-2)*averages!$U4+averages!$U4+1)), "")</f>
        <v/>
      </c>
      <c r="J4" t="str">
        <f>IFERROR(_xlfn.STDEV.S(INDEX(ipopt_output!J:J, (ROW()-2)*averages!$U4+2):INDEX(ipopt_output!J:J, (ROW()-2)*averages!$U4+averages!$U4+1)), "")</f>
        <v/>
      </c>
      <c r="K4" t="str">
        <f>IFERROR(_xlfn.STDEV.S(INDEX(ipopt_output!K:K, (ROW()-2)*averages!$U4+2):INDEX(ipopt_output!K:K, (ROW()-2)*averages!$U4+averages!$U4+1)), "")</f>
        <v/>
      </c>
      <c r="L4" t="str">
        <f>IFERROR(_xlfn.STDEV.S(INDEX(ipopt_output!L:L, (ROW()-2)*averages!$U4+2):INDEX(ipopt_output!L:L, (ROW()-2)*averages!$U4+averages!$U4+1)), "")</f>
        <v/>
      </c>
      <c r="M4" t="str">
        <f>IFERROR(_xlfn.STDEV.S(INDEX(ipopt_output!M:M, (ROW()-2)*averages!$U4+2):INDEX(ipopt_output!M:M, (ROW()-2)*averages!$U4+averages!$U4+1)), "")</f>
        <v/>
      </c>
      <c r="N4" t="str">
        <f>IFERROR(_xlfn.STDEV.S(INDEX(ipopt_output!N:N, (ROW()-2)*averages!$U4+2):INDEX(ipopt_output!N:N, (ROW()-2)*averages!$U4+averages!$U4+1)), "")</f>
        <v/>
      </c>
      <c r="O4" t="str">
        <f>IFERROR(_xlfn.STDEV.S(INDEX(ipopt_output!O:O, (ROW()-2)*averages!$U4+2):INDEX(ipopt_output!O:O, (ROW()-2)*averages!$U4+averages!$U4+1)), "")</f>
        <v/>
      </c>
      <c r="P4" t="str">
        <f>IFERROR(_xlfn.STDEV.S(INDEX(ipopt_output!P:P, (ROW()-2)*averages!$U4+2):INDEX(ipopt_output!P:P, (ROW()-2)*averages!$U4+averages!$U4+1)), "")</f>
        <v/>
      </c>
      <c r="Q4" t="str">
        <f>IFERROR(_xlfn.STDEV.S(INDEX(ipopt_output!Q:Q, (ROW()-2)*averages!$U4+2):INDEX(ipopt_output!Q:Q, (ROW()-2)*averages!$U4+averages!$U4+1)), "")</f>
        <v/>
      </c>
      <c r="R4" t="str">
        <f>IFERROR(_xlfn.STDEV.S(INDEX(ipopt_output!R:R, (ROW()-2)*averages!$U4+2):INDEX(ipopt_output!R:R, (ROW()-2)*averages!$U4+averages!$U4+1)), "")</f>
        <v/>
      </c>
      <c r="S4" t="str">
        <f>IFERROR(_xlfn.STDEV.S(INDEX(ipopt_output!S:S, (ROW()-2)*averages!$U4+2):INDEX(ipopt_output!S:S, (ROW()-2)*averages!$U4+averages!$U4+1)), "")</f>
        <v/>
      </c>
      <c r="T4" t="str">
        <f>IFERROR(_xlfn.STDEV.S(INDEX(ipopt_output!T:T, (ROW()-2)*averages!$U4+2):INDEX(ipopt_output!T:T, (ROW()-2)*averages!$U4+averages!$U4+1)), "")</f>
        <v/>
      </c>
    </row>
    <row r="5" spans="1:20" x14ac:dyDescent="0.25">
      <c r="A5" cm="1">
        <f t="array" ref="A5">INDEX(ipopt_output!A:A, (ROW()-2)*averages!$U5+2)</f>
        <v>0</v>
      </c>
      <c r="B5" cm="1">
        <f t="array" ref="B5">INDEX(ipopt_output!B:B, (ROW()-2)*averages!$U5+2)</f>
        <v>0</v>
      </c>
      <c r="C5" t="str">
        <f>IFERROR(_xlfn.STDEV.S(INDEX(ipopt_output!C:C, (ROW()-2)*averages!$U5+2):INDEX(ipopt_output!C:C, (ROW()-2)*averages!$U5+averages!$U5+1)), "")</f>
        <v/>
      </c>
      <c r="D5" t="str">
        <f>IFERROR(_xlfn.STDEV.S(INDEX(ipopt_output!D:D, (ROW()-2)*averages!$U5+2):INDEX(ipopt_output!D:D, (ROW()-2)*averages!$U5+averages!$U5+1)), "")</f>
        <v/>
      </c>
      <c r="E5" t="str">
        <f>IFERROR(_xlfn.STDEV.S(INDEX(ipopt_output!E:E, (ROW()-2)*averages!$U5+2):INDEX(ipopt_output!E:E, (ROW()-2)*averages!$U5+averages!$U5+1)), "")</f>
        <v/>
      </c>
      <c r="F5" t="str">
        <f>IFERROR(_xlfn.STDEV.S(INDEX(ipopt_output!F:F, (ROW()-2)*averages!$U5+2):INDEX(ipopt_output!F:F, (ROW()-2)*averages!$U5+averages!$U5+1)), "")</f>
        <v/>
      </c>
      <c r="G5" t="str">
        <f>IFERROR(_xlfn.STDEV.S(INDEX(ipopt_output!G:G, (ROW()-2)*averages!$U5+2):INDEX(ipopt_output!G:G, (ROW()-2)*averages!$U5+averages!$U5+1)), "")</f>
        <v/>
      </c>
      <c r="H5" t="str">
        <f>IFERROR(_xlfn.STDEV.S(INDEX(ipopt_output!H:H, (ROW()-2)*averages!$U5+2):INDEX(ipopt_output!H:H, (ROW()-2)*averages!$U5+averages!$U5+1)), "")</f>
        <v/>
      </c>
      <c r="I5" t="str">
        <f>IFERROR(_xlfn.STDEV.S(INDEX(ipopt_output!I:I, (ROW()-2)*averages!$U5+2):INDEX(ipopt_output!I:I, (ROW()-2)*averages!$U5+averages!$U5+1)), "")</f>
        <v/>
      </c>
      <c r="J5" t="str">
        <f>IFERROR(_xlfn.STDEV.S(INDEX(ipopt_output!J:J, (ROW()-2)*averages!$U5+2):INDEX(ipopt_output!J:J, (ROW()-2)*averages!$U5+averages!$U5+1)), "")</f>
        <v/>
      </c>
      <c r="K5" t="str">
        <f>IFERROR(_xlfn.STDEV.S(INDEX(ipopt_output!K:K, (ROW()-2)*averages!$U5+2):INDEX(ipopt_output!K:K, (ROW()-2)*averages!$U5+averages!$U5+1)), "")</f>
        <v/>
      </c>
      <c r="L5" t="str">
        <f>IFERROR(_xlfn.STDEV.S(INDEX(ipopt_output!L:L, (ROW()-2)*averages!$U5+2):INDEX(ipopt_output!L:L, (ROW()-2)*averages!$U5+averages!$U5+1)), "")</f>
        <v/>
      </c>
      <c r="M5" t="str">
        <f>IFERROR(_xlfn.STDEV.S(INDEX(ipopt_output!M:M, (ROW()-2)*averages!$U5+2):INDEX(ipopt_output!M:M, (ROW()-2)*averages!$U5+averages!$U5+1)), "")</f>
        <v/>
      </c>
      <c r="N5" t="str">
        <f>IFERROR(_xlfn.STDEV.S(INDEX(ipopt_output!N:N, (ROW()-2)*averages!$U5+2):INDEX(ipopt_output!N:N, (ROW()-2)*averages!$U5+averages!$U5+1)), "")</f>
        <v/>
      </c>
      <c r="O5" t="str">
        <f>IFERROR(_xlfn.STDEV.S(INDEX(ipopt_output!O:O, (ROW()-2)*averages!$U5+2):INDEX(ipopt_output!O:O, (ROW()-2)*averages!$U5+averages!$U5+1)), "")</f>
        <v/>
      </c>
      <c r="P5" t="str">
        <f>IFERROR(_xlfn.STDEV.S(INDEX(ipopt_output!P:P, (ROW()-2)*averages!$U5+2):INDEX(ipopt_output!P:P, (ROW()-2)*averages!$U5+averages!$U5+1)), "")</f>
        <v/>
      </c>
      <c r="Q5" t="str">
        <f>IFERROR(_xlfn.STDEV.S(INDEX(ipopt_output!Q:Q, (ROW()-2)*averages!$U5+2):INDEX(ipopt_output!Q:Q, (ROW()-2)*averages!$U5+averages!$U5+1)), "")</f>
        <v/>
      </c>
      <c r="R5" t="str">
        <f>IFERROR(_xlfn.STDEV.S(INDEX(ipopt_output!R:R, (ROW()-2)*averages!$U5+2):INDEX(ipopt_output!R:R, (ROW()-2)*averages!$U5+averages!$U5+1)), "")</f>
        <v/>
      </c>
      <c r="S5" t="str">
        <f>IFERROR(_xlfn.STDEV.S(INDEX(ipopt_output!S:S, (ROW()-2)*averages!$U5+2):INDEX(ipopt_output!S:S, (ROW()-2)*averages!$U5+averages!$U5+1)), "")</f>
        <v/>
      </c>
      <c r="T5" t="str">
        <f>IFERROR(_xlfn.STDEV.S(INDEX(ipopt_output!T:T, (ROW()-2)*averages!$U5+2):INDEX(ipopt_output!T:T, (ROW()-2)*averages!$U5+averages!$U5+1)), "")</f>
        <v/>
      </c>
    </row>
    <row r="6" spans="1:20" x14ac:dyDescent="0.25">
      <c r="A6" cm="1">
        <f t="array" ref="A6">INDEX(ipopt_output!A:A, (ROW()-2)*averages!$U6+2)</f>
        <v>0</v>
      </c>
      <c r="B6" cm="1">
        <f t="array" ref="B6">INDEX(ipopt_output!B:B, (ROW()-2)*averages!$U6+2)</f>
        <v>0</v>
      </c>
      <c r="C6" t="str">
        <f>IFERROR(_xlfn.STDEV.S(INDEX(ipopt_output!C:C, (ROW()-2)*averages!$U6+2):INDEX(ipopt_output!C:C, (ROW()-2)*averages!$U6+averages!$U6+1)), "")</f>
        <v/>
      </c>
      <c r="D6" t="str">
        <f>IFERROR(_xlfn.STDEV.S(INDEX(ipopt_output!D:D, (ROW()-2)*averages!$U6+2):INDEX(ipopt_output!D:D, (ROW()-2)*averages!$U6+averages!$U6+1)), "")</f>
        <v/>
      </c>
      <c r="E6" t="str">
        <f>IFERROR(_xlfn.STDEV.S(INDEX(ipopt_output!E:E, (ROW()-2)*averages!$U6+2):INDEX(ipopt_output!E:E, (ROW()-2)*averages!$U6+averages!$U6+1)), "")</f>
        <v/>
      </c>
      <c r="F6" t="str">
        <f>IFERROR(_xlfn.STDEV.S(INDEX(ipopt_output!F:F, (ROW()-2)*averages!$U6+2):INDEX(ipopt_output!F:F, (ROW()-2)*averages!$U6+averages!$U6+1)), "")</f>
        <v/>
      </c>
      <c r="G6" t="str">
        <f>IFERROR(_xlfn.STDEV.S(INDEX(ipopt_output!G:G, (ROW()-2)*averages!$U6+2):INDEX(ipopt_output!G:G, (ROW()-2)*averages!$U6+averages!$U6+1)), "")</f>
        <v/>
      </c>
      <c r="H6" t="str">
        <f>IFERROR(_xlfn.STDEV.S(INDEX(ipopt_output!H:H, (ROW()-2)*averages!$U6+2):INDEX(ipopt_output!H:H, (ROW()-2)*averages!$U6+averages!$U6+1)), "")</f>
        <v/>
      </c>
      <c r="I6" t="str">
        <f>IFERROR(_xlfn.STDEV.S(INDEX(ipopt_output!I:I, (ROW()-2)*averages!$U6+2):INDEX(ipopt_output!I:I, (ROW()-2)*averages!$U6+averages!$U6+1)), "")</f>
        <v/>
      </c>
      <c r="J6" t="str">
        <f>IFERROR(_xlfn.STDEV.S(INDEX(ipopt_output!J:J, (ROW()-2)*averages!$U6+2):INDEX(ipopt_output!J:J, (ROW()-2)*averages!$U6+averages!$U6+1)), "")</f>
        <v/>
      </c>
      <c r="K6" t="str">
        <f>IFERROR(_xlfn.STDEV.S(INDEX(ipopt_output!K:K, (ROW()-2)*averages!$U6+2):INDEX(ipopt_output!K:K, (ROW()-2)*averages!$U6+averages!$U6+1)), "")</f>
        <v/>
      </c>
      <c r="L6" t="str">
        <f>IFERROR(_xlfn.STDEV.S(INDEX(ipopt_output!L:L, (ROW()-2)*averages!$U6+2):INDEX(ipopt_output!L:L, (ROW()-2)*averages!$U6+averages!$U6+1)), "")</f>
        <v/>
      </c>
      <c r="M6" t="str">
        <f>IFERROR(_xlfn.STDEV.S(INDEX(ipopt_output!M:M, (ROW()-2)*averages!$U6+2):INDEX(ipopt_output!M:M, (ROW()-2)*averages!$U6+averages!$U6+1)), "")</f>
        <v/>
      </c>
      <c r="N6" t="str">
        <f>IFERROR(_xlfn.STDEV.S(INDEX(ipopt_output!N:N, (ROW()-2)*averages!$U6+2):INDEX(ipopt_output!N:N, (ROW()-2)*averages!$U6+averages!$U6+1)), "")</f>
        <v/>
      </c>
      <c r="O6" t="str">
        <f>IFERROR(_xlfn.STDEV.S(INDEX(ipopt_output!O:O, (ROW()-2)*averages!$U6+2):INDEX(ipopt_output!O:O, (ROW()-2)*averages!$U6+averages!$U6+1)), "")</f>
        <v/>
      </c>
      <c r="P6" t="str">
        <f>IFERROR(_xlfn.STDEV.S(INDEX(ipopt_output!P:P, (ROW()-2)*averages!$U6+2):INDEX(ipopt_output!P:P, (ROW()-2)*averages!$U6+averages!$U6+1)), "")</f>
        <v/>
      </c>
      <c r="Q6" t="str">
        <f>IFERROR(_xlfn.STDEV.S(INDEX(ipopt_output!Q:Q, (ROW()-2)*averages!$U6+2):INDEX(ipopt_output!Q:Q, (ROW()-2)*averages!$U6+averages!$U6+1)), "")</f>
        <v/>
      </c>
      <c r="R6" t="str">
        <f>IFERROR(_xlfn.STDEV.S(INDEX(ipopt_output!R:R, (ROW()-2)*averages!$U6+2):INDEX(ipopt_output!R:R, (ROW()-2)*averages!$U6+averages!$U6+1)), "")</f>
        <v/>
      </c>
      <c r="S6" t="str">
        <f>IFERROR(_xlfn.STDEV.S(INDEX(ipopt_output!S:S, (ROW()-2)*averages!$U6+2):INDEX(ipopt_output!S:S, (ROW()-2)*averages!$U6+averages!$U6+1)), "")</f>
        <v/>
      </c>
      <c r="T6" t="str">
        <f>IFERROR(_xlfn.STDEV.S(INDEX(ipopt_output!T:T, (ROW()-2)*averages!$U6+2):INDEX(ipopt_output!T:T, (ROW()-2)*averages!$U6+averages!$U6+1)), "")</f>
        <v/>
      </c>
    </row>
    <row r="7" spans="1:20" x14ac:dyDescent="0.25">
      <c r="A7" cm="1">
        <f t="array" ref="A7">INDEX(ipopt_output!A:A, (ROW()-2)*averages!$U7+2)</f>
        <v>0</v>
      </c>
      <c r="B7" cm="1">
        <f t="array" ref="B7">INDEX(ipopt_output!B:B, (ROW()-2)*averages!$U7+2)</f>
        <v>0</v>
      </c>
      <c r="C7" t="str">
        <f>IFERROR(_xlfn.STDEV.S(INDEX(ipopt_output!C:C, (ROW()-2)*averages!$U7+2):INDEX(ipopt_output!C:C, (ROW()-2)*averages!$U7+averages!$U7+1)), "")</f>
        <v/>
      </c>
      <c r="D7" t="str">
        <f>IFERROR(_xlfn.STDEV.S(INDEX(ipopt_output!D:D, (ROW()-2)*averages!$U7+2):INDEX(ipopt_output!D:D, (ROW()-2)*averages!$U7+averages!$U7+1)), "")</f>
        <v/>
      </c>
      <c r="E7" t="str">
        <f>IFERROR(_xlfn.STDEV.S(INDEX(ipopt_output!E:E, (ROW()-2)*averages!$U7+2):INDEX(ipopt_output!E:E, (ROW()-2)*averages!$U7+averages!$U7+1)), "")</f>
        <v/>
      </c>
      <c r="F7" t="str">
        <f>IFERROR(_xlfn.STDEV.S(INDEX(ipopt_output!F:F, (ROW()-2)*averages!$U7+2):INDEX(ipopt_output!F:F, (ROW()-2)*averages!$U7+averages!$U7+1)), "")</f>
        <v/>
      </c>
      <c r="G7" t="str">
        <f>IFERROR(_xlfn.STDEV.S(INDEX(ipopt_output!G:G, (ROW()-2)*averages!$U7+2):INDEX(ipopt_output!G:G, (ROW()-2)*averages!$U7+averages!$U7+1)), "")</f>
        <v/>
      </c>
      <c r="H7" t="str">
        <f>IFERROR(_xlfn.STDEV.S(INDEX(ipopt_output!H:H, (ROW()-2)*averages!$U7+2):INDEX(ipopt_output!H:H, (ROW()-2)*averages!$U7+averages!$U7+1)), "")</f>
        <v/>
      </c>
      <c r="I7" t="str">
        <f>IFERROR(_xlfn.STDEV.S(INDEX(ipopt_output!I:I, (ROW()-2)*averages!$U7+2):INDEX(ipopt_output!I:I, (ROW()-2)*averages!$U7+averages!$U7+1)), "")</f>
        <v/>
      </c>
      <c r="J7" t="str">
        <f>IFERROR(_xlfn.STDEV.S(INDEX(ipopt_output!J:J, (ROW()-2)*averages!$U7+2):INDEX(ipopt_output!J:J, (ROW()-2)*averages!$U7+averages!$U7+1)), "")</f>
        <v/>
      </c>
      <c r="K7" t="str">
        <f>IFERROR(_xlfn.STDEV.S(INDEX(ipopt_output!K:K, (ROW()-2)*averages!$U7+2):INDEX(ipopt_output!K:K, (ROW()-2)*averages!$U7+averages!$U7+1)), "")</f>
        <v/>
      </c>
      <c r="L7" t="str">
        <f>IFERROR(_xlfn.STDEV.S(INDEX(ipopt_output!L:L, (ROW()-2)*averages!$U7+2):INDEX(ipopt_output!L:L, (ROW()-2)*averages!$U7+averages!$U7+1)), "")</f>
        <v/>
      </c>
      <c r="M7" t="str">
        <f>IFERROR(_xlfn.STDEV.S(INDEX(ipopt_output!M:M, (ROW()-2)*averages!$U7+2):INDEX(ipopt_output!M:M, (ROW()-2)*averages!$U7+averages!$U7+1)), "")</f>
        <v/>
      </c>
      <c r="N7" t="str">
        <f>IFERROR(_xlfn.STDEV.S(INDEX(ipopt_output!N:N, (ROW()-2)*averages!$U7+2):INDEX(ipopt_output!N:N, (ROW()-2)*averages!$U7+averages!$U7+1)), "")</f>
        <v/>
      </c>
      <c r="O7" t="str">
        <f>IFERROR(_xlfn.STDEV.S(INDEX(ipopt_output!O:O, (ROW()-2)*averages!$U7+2):INDEX(ipopt_output!O:O, (ROW()-2)*averages!$U7+averages!$U7+1)), "")</f>
        <v/>
      </c>
      <c r="P7" t="str">
        <f>IFERROR(_xlfn.STDEV.S(INDEX(ipopt_output!P:P, (ROW()-2)*averages!$U7+2):INDEX(ipopt_output!P:P, (ROW()-2)*averages!$U7+averages!$U7+1)), "")</f>
        <v/>
      </c>
      <c r="Q7" t="str">
        <f>IFERROR(_xlfn.STDEV.S(INDEX(ipopt_output!Q:Q, (ROW()-2)*averages!$U7+2):INDEX(ipopt_output!Q:Q, (ROW()-2)*averages!$U7+averages!$U7+1)), "")</f>
        <v/>
      </c>
      <c r="R7" t="str">
        <f>IFERROR(_xlfn.STDEV.S(INDEX(ipopt_output!R:R, (ROW()-2)*averages!$U7+2):INDEX(ipopt_output!R:R, (ROW()-2)*averages!$U7+averages!$U7+1)), "")</f>
        <v/>
      </c>
      <c r="S7" t="str">
        <f>IFERROR(_xlfn.STDEV.S(INDEX(ipopt_output!S:S, (ROW()-2)*averages!$U7+2):INDEX(ipopt_output!S:S, (ROW()-2)*averages!$U7+averages!$U7+1)), "")</f>
        <v/>
      </c>
      <c r="T7" t="str">
        <f>IFERROR(_xlfn.STDEV.S(INDEX(ipopt_output!T:T, (ROW()-2)*averages!$U7+2):INDEX(ipopt_output!T:T, (ROW()-2)*averages!$U7+averages!$U7+1)), "")</f>
        <v/>
      </c>
    </row>
    <row r="8" spans="1:20" x14ac:dyDescent="0.25">
      <c r="A8" cm="1">
        <f t="array" ref="A8">INDEX(ipopt_output!A:A, (ROW()-2)*averages!$U8+2)</f>
        <v>0</v>
      </c>
      <c r="B8" cm="1">
        <f t="array" ref="B8">INDEX(ipopt_output!B:B, (ROW()-2)*averages!$U8+2)</f>
        <v>0</v>
      </c>
      <c r="C8" t="str">
        <f>IFERROR(_xlfn.STDEV.S(INDEX(ipopt_output!C:C, (ROW()-2)*averages!$U8+2):INDEX(ipopt_output!C:C, (ROW()-2)*averages!$U8+averages!$U8+1)), "")</f>
        <v/>
      </c>
      <c r="D8" t="str">
        <f>IFERROR(_xlfn.STDEV.S(INDEX(ipopt_output!D:D, (ROW()-2)*averages!$U8+2):INDEX(ipopt_output!D:D, (ROW()-2)*averages!$U8+averages!$U8+1)), "")</f>
        <v/>
      </c>
      <c r="E8" t="str">
        <f>IFERROR(_xlfn.STDEV.S(INDEX(ipopt_output!E:E, (ROW()-2)*averages!$U8+2):INDEX(ipopt_output!E:E, (ROW()-2)*averages!$U8+averages!$U8+1)), "")</f>
        <v/>
      </c>
      <c r="F8" t="str">
        <f>IFERROR(_xlfn.STDEV.S(INDEX(ipopt_output!F:F, (ROW()-2)*averages!$U8+2):INDEX(ipopt_output!F:F, (ROW()-2)*averages!$U8+averages!$U8+1)), "")</f>
        <v/>
      </c>
      <c r="G8" t="str">
        <f>IFERROR(_xlfn.STDEV.S(INDEX(ipopt_output!G:G, (ROW()-2)*averages!$U8+2):INDEX(ipopt_output!G:G, (ROW()-2)*averages!$U8+averages!$U8+1)), "")</f>
        <v/>
      </c>
      <c r="H8" t="str">
        <f>IFERROR(_xlfn.STDEV.S(INDEX(ipopt_output!H:H, (ROW()-2)*averages!$U8+2):INDEX(ipopt_output!H:H, (ROW()-2)*averages!$U8+averages!$U8+1)), "")</f>
        <v/>
      </c>
      <c r="I8" t="str">
        <f>IFERROR(_xlfn.STDEV.S(INDEX(ipopt_output!I:I, (ROW()-2)*averages!$U8+2):INDEX(ipopt_output!I:I, (ROW()-2)*averages!$U8+averages!$U8+1)), "")</f>
        <v/>
      </c>
      <c r="J8" t="str">
        <f>IFERROR(_xlfn.STDEV.S(INDEX(ipopt_output!J:J, (ROW()-2)*averages!$U8+2):INDEX(ipopt_output!J:J, (ROW()-2)*averages!$U8+averages!$U8+1)), "")</f>
        <v/>
      </c>
      <c r="K8" t="str">
        <f>IFERROR(_xlfn.STDEV.S(INDEX(ipopt_output!K:K, (ROW()-2)*averages!$U8+2):INDEX(ipopt_output!K:K, (ROW()-2)*averages!$U8+averages!$U8+1)), "")</f>
        <v/>
      </c>
      <c r="L8" t="str">
        <f>IFERROR(_xlfn.STDEV.S(INDEX(ipopt_output!L:L, (ROW()-2)*averages!$U8+2):INDEX(ipopt_output!L:L, (ROW()-2)*averages!$U8+averages!$U8+1)), "")</f>
        <v/>
      </c>
      <c r="M8" t="str">
        <f>IFERROR(_xlfn.STDEV.S(INDEX(ipopt_output!M:M, (ROW()-2)*averages!$U8+2):INDEX(ipopt_output!M:M, (ROW()-2)*averages!$U8+averages!$U8+1)), "")</f>
        <v/>
      </c>
      <c r="N8" t="str">
        <f>IFERROR(_xlfn.STDEV.S(INDEX(ipopt_output!N:N, (ROW()-2)*averages!$U8+2):INDEX(ipopt_output!N:N, (ROW()-2)*averages!$U8+averages!$U8+1)), "")</f>
        <v/>
      </c>
      <c r="O8" t="str">
        <f>IFERROR(_xlfn.STDEV.S(INDEX(ipopt_output!O:O, (ROW()-2)*averages!$U8+2):INDEX(ipopt_output!O:O, (ROW()-2)*averages!$U8+averages!$U8+1)), "")</f>
        <v/>
      </c>
      <c r="P8" t="str">
        <f>IFERROR(_xlfn.STDEV.S(INDEX(ipopt_output!P:P, (ROW()-2)*averages!$U8+2):INDEX(ipopt_output!P:P, (ROW()-2)*averages!$U8+averages!$U8+1)), "")</f>
        <v/>
      </c>
      <c r="Q8" t="str">
        <f>IFERROR(_xlfn.STDEV.S(INDEX(ipopt_output!Q:Q, (ROW()-2)*averages!$U8+2):INDEX(ipopt_output!Q:Q, (ROW()-2)*averages!$U8+averages!$U8+1)), "")</f>
        <v/>
      </c>
      <c r="R8" t="str">
        <f>IFERROR(_xlfn.STDEV.S(INDEX(ipopt_output!R:R, (ROW()-2)*averages!$U8+2):INDEX(ipopt_output!R:R, (ROW()-2)*averages!$U8+averages!$U8+1)), "")</f>
        <v/>
      </c>
      <c r="S8" t="str">
        <f>IFERROR(_xlfn.STDEV.S(INDEX(ipopt_output!S:S, (ROW()-2)*averages!$U8+2):INDEX(ipopt_output!S:S, (ROW()-2)*averages!$U8+averages!$U8+1)), "")</f>
        <v/>
      </c>
      <c r="T8" t="str">
        <f>IFERROR(_xlfn.STDEV.S(INDEX(ipopt_output!T:T, (ROW()-2)*averages!$U8+2):INDEX(ipopt_output!T:T, (ROW()-2)*averages!$U8+averages!$U8+1)), "")</f>
        <v/>
      </c>
    </row>
    <row r="9" spans="1:20" x14ac:dyDescent="0.25">
      <c r="A9" cm="1">
        <f t="array" ref="A9">INDEX(ipopt_output!A:A, (ROW()-2)*averages!$U9+2)</f>
        <v>0</v>
      </c>
      <c r="B9" cm="1">
        <f t="array" ref="B9">INDEX(ipopt_output!B:B, (ROW()-2)*averages!$U9+2)</f>
        <v>0</v>
      </c>
      <c r="C9" t="str">
        <f>IFERROR(_xlfn.STDEV.S(INDEX(ipopt_output!C:C, (ROW()-2)*averages!$U9+2):INDEX(ipopt_output!C:C, (ROW()-2)*averages!$U9+averages!$U9+1)), "")</f>
        <v/>
      </c>
      <c r="D9" t="str">
        <f>IFERROR(_xlfn.STDEV.S(INDEX(ipopt_output!D:D, (ROW()-2)*averages!$U9+2):INDEX(ipopt_output!D:D, (ROW()-2)*averages!$U9+averages!$U9+1)), "")</f>
        <v/>
      </c>
      <c r="E9" t="str">
        <f>IFERROR(_xlfn.STDEV.S(INDEX(ipopt_output!E:E, (ROW()-2)*averages!$U9+2):INDEX(ipopt_output!E:E, (ROW()-2)*averages!$U9+averages!$U9+1)), "")</f>
        <v/>
      </c>
      <c r="F9" t="str">
        <f>IFERROR(_xlfn.STDEV.S(INDEX(ipopt_output!F:F, (ROW()-2)*averages!$U9+2):INDEX(ipopt_output!F:F, (ROW()-2)*averages!$U9+averages!$U9+1)), "")</f>
        <v/>
      </c>
      <c r="G9" t="str">
        <f>IFERROR(_xlfn.STDEV.S(INDEX(ipopt_output!G:G, (ROW()-2)*averages!$U9+2):INDEX(ipopt_output!G:G, (ROW()-2)*averages!$U9+averages!$U9+1)), "")</f>
        <v/>
      </c>
      <c r="H9" t="str">
        <f>IFERROR(_xlfn.STDEV.S(INDEX(ipopt_output!H:H, (ROW()-2)*averages!$U9+2):INDEX(ipopt_output!H:H, (ROW()-2)*averages!$U9+averages!$U9+1)), "")</f>
        <v/>
      </c>
      <c r="I9" t="str">
        <f>IFERROR(_xlfn.STDEV.S(INDEX(ipopt_output!I:I, (ROW()-2)*averages!$U9+2):INDEX(ipopt_output!I:I, (ROW()-2)*averages!$U9+averages!$U9+1)), "")</f>
        <v/>
      </c>
      <c r="J9" t="str">
        <f>IFERROR(_xlfn.STDEV.S(INDEX(ipopt_output!J:J, (ROW()-2)*averages!$U9+2):INDEX(ipopt_output!J:J, (ROW()-2)*averages!$U9+averages!$U9+1)), "")</f>
        <v/>
      </c>
      <c r="K9" t="str">
        <f>IFERROR(_xlfn.STDEV.S(INDEX(ipopt_output!K:K, (ROW()-2)*averages!$U9+2):INDEX(ipopt_output!K:K, (ROW()-2)*averages!$U9+averages!$U9+1)), "")</f>
        <v/>
      </c>
      <c r="L9" t="str">
        <f>IFERROR(_xlfn.STDEV.S(INDEX(ipopt_output!L:L, (ROW()-2)*averages!$U9+2):INDEX(ipopt_output!L:L, (ROW()-2)*averages!$U9+averages!$U9+1)), "")</f>
        <v/>
      </c>
      <c r="M9" t="str">
        <f>IFERROR(_xlfn.STDEV.S(INDEX(ipopt_output!M:M, (ROW()-2)*averages!$U9+2):INDEX(ipopt_output!M:M, (ROW()-2)*averages!$U9+averages!$U9+1)), "")</f>
        <v/>
      </c>
      <c r="N9" t="str">
        <f>IFERROR(_xlfn.STDEV.S(INDEX(ipopt_output!N:N, (ROW()-2)*averages!$U9+2):INDEX(ipopt_output!N:N, (ROW()-2)*averages!$U9+averages!$U9+1)), "")</f>
        <v/>
      </c>
      <c r="O9" t="str">
        <f>IFERROR(_xlfn.STDEV.S(INDEX(ipopt_output!O:O, (ROW()-2)*averages!$U9+2):INDEX(ipopt_output!O:O, (ROW()-2)*averages!$U9+averages!$U9+1)), "")</f>
        <v/>
      </c>
      <c r="P9" t="str">
        <f>IFERROR(_xlfn.STDEV.S(INDEX(ipopt_output!P:P, (ROW()-2)*averages!$U9+2):INDEX(ipopt_output!P:P, (ROW()-2)*averages!$U9+averages!$U9+1)), "")</f>
        <v/>
      </c>
      <c r="Q9" t="str">
        <f>IFERROR(_xlfn.STDEV.S(INDEX(ipopt_output!Q:Q, (ROW()-2)*averages!$U9+2):INDEX(ipopt_output!Q:Q, (ROW()-2)*averages!$U9+averages!$U9+1)), "")</f>
        <v/>
      </c>
      <c r="R9" t="str">
        <f>IFERROR(_xlfn.STDEV.S(INDEX(ipopt_output!R:R, (ROW()-2)*averages!$U9+2):INDEX(ipopt_output!R:R, (ROW()-2)*averages!$U9+averages!$U9+1)), "")</f>
        <v/>
      </c>
      <c r="S9" t="str">
        <f>IFERROR(_xlfn.STDEV.S(INDEX(ipopt_output!S:S, (ROW()-2)*averages!$U9+2):INDEX(ipopt_output!S:S, (ROW()-2)*averages!$U9+averages!$U9+1)), "")</f>
        <v/>
      </c>
      <c r="T9" t="str">
        <f>IFERROR(_xlfn.STDEV.S(INDEX(ipopt_output!T:T, (ROW()-2)*averages!$U9+2):INDEX(ipopt_output!T:T, (ROW()-2)*averages!$U9+averages!$U9+1)), "")</f>
        <v/>
      </c>
    </row>
    <row r="10" spans="1:20" x14ac:dyDescent="0.25">
      <c r="A10" cm="1">
        <f t="array" ref="A10">INDEX(ipopt_output!A:A, (ROW()-2)*averages!$U10+2)</f>
        <v>0</v>
      </c>
      <c r="B10" cm="1">
        <f t="array" ref="B10">INDEX(ipopt_output!B:B, (ROW()-2)*averages!$U10+2)</f>
        <v>0</v>
      </c>
      <c r="C10" t="str">
        <f>IFERROR(_xlfn.STDEV.S(INDEX(ipopt_output!C:C, (ROW()-2)*averages!$U10+2):INDEX(ipopt_output!C:C, (ROW()-2)*averages!$U10+averages!$U10+1)), "")</f>
        <v/>
      </c>
      <c r="D10" t="str">
        <f>IFERROR(_xlfn.STDEV.S(INDEX(ipopt_output!D:D, (ROW()-2)*averages!$U10+2):INDEX(ipopt_output!D:D, (ROW()-2)*averages!$U10+averages!$U10+1)), "")</f>
        <v/>
      </c>
      <c r="E10" t="str">
        <f>IFERROR(_xlfn.STDEV.S(INDEX(ipopt_output!E:E, (ROW()-2)*averages!$U10+2):INDEX(ipopt_output!E:E, (ROW()-2)*averages!$U10+averages!$U10+1)), "")</f>
        <v/>
      </c>
      <c r="F10" t="str">
        <f>IFERROR(_xlfn.STDEV.S(INDEX(ipopt_output!F:F, (ROW()-2)*averages!$U10+2):INDEX(ipopt_output!F:F, (ROW()-2)*averages!$U10+averages!$U10+1)), "")</f>
        <v/>
      </c>
      <c r="G10" t="str">
        <f>IFERROR(_xlfn.STDEV.S(INDEX(ipopt_output!G:G, (ROW()-2)*averages!$U10+2):INDEX(ipopt_output!G:G, (ROW()-2)*averages!$U10+averages!$U10+1)), "")</f>
        <v/>
      </c>
      <c r="H10" t="str">
        <f>IFERROR(_xlfn.STDEV.S(INDEX(ipopt_output!H:H, (ROW()-2)*averages!$U10+2):INDEX(ipopt_output!H:H, (ROW()-2)*averages!$U10+averages!$U10+1)), "")</f>
        <v/>
      </c>
      <c r="I10" t="str">
        <f>IFERROR(_xlfn.STDEV.S(INDEX(ipopt_output!I:I, (ROW()-2)*averages!$U10+2):INDEX(ipopt_output!I:I, (ROW()-2)*averages!$U10+averages!$U10+1)), "")</f>
        <v/>
      </c>
      <c r="J10" t="str">
        <f>IFERROR(_xlfn.STDEV.S(INDEX(ipopt_output!J:J, (ROW()-2)*averages!$U10+2):INDEX(ipopt_output!J:J, (ROW()-2)*averages!$U10+averages!$U10+1)), "")</f>
        <v/>
      </c>
      <c r="K10" t="str">
        <f>IFERROR(_xlfn.STDEV.S(INDEX(ipopt_output!K:K, (ROW()-2)*averages!$U10+2):INDEX(ipopt_output!K:K, (ROW()-2)*averages!$U10+averages!$U10+1)), "")</f>
        <v/>
      </c>
      <c r="L10" t="str">
        <f>IFERROR(_xlfn.STDEV.S(INDEX(ipopt_output!L:L, (ROW()-2)*averages!$U10+2):INDEX(ipopt_output!L:L, (ROW()-2)*averages!$U10+averages!$U10+1)), "")</f>
        <v/>
      </c>
      <c r="M10" t="str">
        <f>IFERROR(_xlfn.STDEV.S(INDEX(ipopt_output!M:M, (ROW()-2)*averages!$U10+2):INDEX(ipopt_output!M:M, (ROW()-2)*averages!$U10+averages!$U10+1)), "")</f>
        <v/>
      </c>
      <c r="N10" t="str">
        <f>IFERROR(_xlfn.STDEV.S(INDEX(ipopt_output!N:N, (ROW()-2)*averages!$U10+2):INDEX(ipopt_output!N:N, (ROW()-2)*averages!$U10+averages!$U10+1)), "")</f>
        <v/>
      </c>
      <c r="O10" t="str">
        <f>IFERROR(_xlfn.STDEV.S(INDEX(ipopt_output!O:O, (ROW()-2)*averages!$U10+2):INDEX(ipopt_output!O:O, (ROW()-2)*averages!$U10+averages!$U10+1)), "")</f>
        <v/>
      </c>
      <c r="P10" t="str">
        <f>IFERROR(_xlfn.STDEV.S(INDEX(ipopt_output!P:P, (ROW()-2)*averages!$U10+2):INDEX(ipopt_output!P:P, (ROW()-2)*averages!$U10+averages!$U10+1)), "")</f>
        <v/>
      </c>
      <c r="Q10" t="str">
        <f>IFERROR(_xlfn.STDEV.S(INDEX(ipopt_output!Q:Q, (ROW()-2)*averages!$U10+2):INDEX(ipopt_output!Q:Q, (ROW()-2)*averages!$U10+averages!$U10+1)), "")</f>
        <v/>
      </c>
      <c r="R10" t="str">
        <f>IFERROR(_xlfn.STDEV.S(INDEX(ipopt_output!R:R, (ROW()-2)*averages!$U10+2):INDEX(ipopt_output!R:R, (ROW()-2)*averages!$U10+averages!$U10+1)), "")</f>
        <v/>
      </c>
      <c r="S10" t="str">
        <f>IFERROR(_xlfn.STDEV.S(INDEX(ipopt_output!S:S, (ROW()-2)*averages!$U10+2):INDEX(ipopt_output!S:S, (ROW()-2)*averages!$U10+averages!$U10+1)), "")</f>
        <v/>
      </c>
      <c r="T10" t="str">
        <f>IFERROR(_xlfn.STDEV.S(INDEX(ipopt_output!T:T, (ROW()-2)*averages!$U10+2):INDEX(ipopt_output!T:T, (ROW()-2)*averages!$U10+averages!$U10+1)), "")</f>
        <v/>
      </c>
    </row>
    <row r="11" spans="1:20" x14ac:dyDescent="0.25">
      <c r="A11" cm="1">
        <f t="array" ref="A11">INDEX(ipopt_output!A:A, (ROW()-2)*averages!$U11+2)</f>
        <v>0</v>
      </c>
      <c r="B11" cm="1">
        <f t="array" ref="B11">INDEX(ipopt_output!B:B, (ROW()-2)*averages!$U11+2)</f>
        <v>0</v>
      </c>
      <c r="C11" t="str">
        <f>IFERROR(_xlfn.STDEV.S(INDEX(ipopt_output!C:C, (ROW()-2)*averages!$U11+2):INDEX(ipopt_output!C:C, (ROW()-2)*averages!$U11+averages!$U11+1)), "")</f>
        <v/>
      </c>
      <c r="D11" t="str">
        <f>IFERROR(_xlfn.STDEV.S(INDEX(ipopt_output!D:D, (ROW()-2)*averages!$U11+2):INDEX(ipopt_output!D:D, (ROW()-2)*averages!$U11+averages!$U11+1)), "")</f>
        <v/>
      </c>
      <c r="E11" t="str">
        <f>IFERROR(_xlfn.STDEV.S(INDEX(ipopt_output!E:E, (ROW()-2)*averages!$U11+2):INDEX(ipopt_output!E:E, (ROW()-2)*averages!$U11+averages!$U11+1)), "")</f>
        <v/>
      </c>
      <c r="F11" t="str">
        <f>IFERROR(_xlfn.STDEV.S(INDEX(ipopt_output!F:F, (ROW()-2)*averages!$U11+2):INDEX(ipopt_output!F:F, (ROW()-2)*averages!$U11+averages!$U11+1)), "")</f>
        <v/>
      </c>
      <c r="G11" t="str">
        <f>IFERROR(_xlfn.STDEV.S(INDEX(ipopt_output!G:G, (ROW()-2)*averages!$U11+2):INDEX(ipopt_output!G:G, (ROW()-2)*averages!$U11+averages!$U11+1)), "")</f>
        <v/>
      </c>
      <c r="H11" t="str">
        <f>IFERROR(_xlfn.STDEV.S(INDEX(ipopt_output!H:H, (ROW()-2)*averages!$U11+2):INDEX(ipopt_output!H:H, (ROW()-2)*averages!$U11+averages!$U11+1)), "")</f>
        <v/>
      </c>
      <c r="I11" t="str">
        <f>IFERROR(_xlfn.STDEV.S(INDEX(ipopt_output!I:I, (ROW()-2)*averages!$U11+2):INDEX(ipopt_output!I:I, (ROW()-2)*averages!$U11+averages!$U11+1)), "")</f>
        <v/>
      </c>
      <c r="J11" t="str">
        <f>IFERROR(_xlfn.STDEV.S(INDEX(ipopt_output!J:J, (ROW()-2)*averages!$U11+2):INDEX(ipopt_output!J:J, (ROW()-2)*averages!$U11+averages!$U11+1)), "")</f>
        <v/>
      </c>
      <c r="K11" t="str">
        <f>IFERROR(_xlfn.STDEV.S(INDEX(ipopt_output!K:K, (ROW()-2)*averages!$U11+2):INDEX(ipopt_output!K:K, (ROW()-2)*averages!$U11+averages!$U11+1)), "")</f>
        <v/>
      </c>
      <c r="L11" t="str">
        <f>IFERROR(_xlfn.STDEV.S(INDEX(ipopt_output!L:L, (ROW()-2)*averages!$U11+2):INDEX(ipopt_output!L:L, (ROW()-2)*averages!$U11+averages!$U11+1)), "")</f>
        <v/>
      </c>
      <c r="M11" t="str">
        <f>IFERROR(_xlfn.STDEV.S(INDEX(ipopt_output!M:M, (ROW()-2)*averages!$U11+2):INDEX(ipopt_output!M:M, (ROW()-2)*averages!$U11+averages!$U11+1)), "")</f>
        <v/>
      </c>
      <c r="N11" t="str">
        <f>IFERROR(_xlfn.STDEV.S(INDEX(ipopt_output!N:N, (ROW()-2)*averages!$U11+2):INDEX(ipopt_output!N:N, (ROW()-2)*averages!$U11+averages!$U11+1)), "")</f>
        <v/>
      </c>
      <c r="O11" t="str">
        <f>IFERROR(_xlfn.STDEV.S(INDEX(ipopt_output!O:O, (ROW()-2)*averages!$U11+2):INDEX(ipopt_output!O:O, (ROW()-2)*averages!$U11+averages!$U11+1)), "")</f>
        <v/>
      </c>
      <c r="P11" t="str">
        <f>IFERROR(_xlfn.STDEV.S(INDEX(ipopt_output!P:P, (ROW()-2)*averages!$U11+2):INDEX(ipopt_output!P:P, (ROW()-2)*averages!$U11+averages!$U11+1)), "")</f>
        <v/>
      </c>
      <c r="Q11" t="str">
        <f>IFERROR(_xlfn.STDEV.S(INDEX(ipopt_output!Q:Q, (ROW()-2)*averages!$U11+2):INDEX(ipopt_output!Q:Q, (ROW()-2)*averages!$U11+averages!$U11+1)), "")</f>
        <v/>
      </c>
      <c r="R11" t="str">
        <f>IFERROR(_xlfn.STDEV.S(INDEX(ipopt_output!R:R, (ROW()-2)*averages!$U11+2):INDEX(ipopt_output!R:R, (ROW()-2)*averages!$U11+averages!$U11+1)), "")</f>
        <v/>
      </c>
      <c r="S11" t="str">
        <f>IFERROR(_xlfn.STDEV.S(INDEX(ipopt_output!S:S, (ROW()-2)*averages!$U11+2):INDEX(ipopt_output!S:S, (ROW()-2)*averages!$U11+averages!$U11+1)), "")</f>
        <v/>
      </c>
      <c r="T11" t="str">
        <f>IFERROR(_xlfn.STDEV.S(INDEX(ipopt_output!T:T, (ROW()-2)*averages!$U11+2):INDEX(ipopt_output!T:T, (ROW()-2)*averages!$U11+averages!$U11+1)), "")</f>
        <v/>
      </c>
    </row>
    <row r="12" spans="1:20" x14ac:dyDescent="0.25">
      <c r="A12" cm="1">
        <f t="array" ref="A12">INDEX(ipopt_output!A:A, (ROW()-2)*averages!$U12+2)</f>
        <v>0</v>
      </c>
      <c r="B12" cm="1">
        <f t="array" ref="B12">INDEX(ipopt_output!B:B, (ROW()-2)*averages!$U12+2)</f>
        <v>0</v>
      </c>
      <c r="C12" t="str">
        <f>IFERROR(_xlfn.STDEV.S(INDEX(ipopt_output!C:C, (ROW()-2)*averages!$U12+2):INDEX(ipopt_output!C:C, (ROW()-2)*averages!$U12+averages!$U12+1)), "")</f>
        <v/>
      </c>
      <c r="D12" t="str">
        <f>IFERROR(_xlfn.STDEV.S(INDEX(ipopt_output!D:D, (ROW()-2)*averages!$U12+2):INDEX(ipopt_output!D:D, (ROW()-2)*averages!$U12+averages!$U12+1)), "")</f>
        <v/>
      </c>
      <c r="E12" t="str">
        <f>IFERROR(_xlfn.STDEV.S(INDEX(ipopt_output!E:E, (ROW()-2)*averages!$U12+2):INDEX(ipopt_output!E:E, (ROW()-2)*averages!$U12+averages!$U12+1)), "")</f>
        <v/>
      </c>
      <c r="F12" t="str">
        <f>IFERROR(_xlfn.STDEV.S(INDEX(ipopt_output!F:F, (ROW()-2)*averages!$U12+2):INDEX(ipopt_output!F:F, (ROW()-2)*averages!$U12+averages!$U12+1)), "")</f>
        <v/>
      </c>
      <c r="G12" t="str">
        <f>IFERROR(_xlfn.STDEV.S(INDEX(ipopt_output!G:G, (ROW()-2)*averages!$U12+2):INDEX(ipopt_output!G:G, (ROW()-2)*averages!$U12+averages!$U12+1)), "")</f>
        <v/>
      </c>
      <c r="H12" t="str">
        <f>IFERROR(_xlfn.STDEV.S(INDEX(ipopt_output!H:H, (ROW()-2)*averages!$U12+2):INDEX(ipopt_output!H:H, (ROW()-2)*averages!$U12+averages!$U12+1)), "")</f>
        <v/>
      </c>
      <c r="I12" t="str">
        <f>IFERROR(_xlfn.STDEV.S(INDEX(ipopt_output!I:I, (ROW()-2)*averages!$U12+2):INDEX(ipopt_output!I:I, (ROW()-2)*averages!$U12+averages!$U12+1)), "")</f>
        <v/>
      </c>
      <c r="J12" t="str">
        <f>IFERROR(_xlfn.STDEV.S(INDEX(ipopt_output!J:J, (ROW()-2)*averages!$U12+2):INDEX(ipopt_output!J:J, (ROW()-2)*averages!$U12+averages!$U12+1)), "")</f>
        <v/>
      </c>
      <c r="K12" t="str">
        <f>IFERROR(_xlfn.STDEV.S(INDEX(ipopt_output!K:K, (ROW()-2)*averages!$U12+2):INDEX(ipopt_output!K:K, (ROW()-2)*averages!$U12+averages!$U12+1)), "")</f>
        <v/>
      </c>
      <c r="L12" t="str">
        <f>IFERROR(_xlfn.STDEV.S(INDEX(ipopt_output!L:L, (ROW()-2)*averages!$U12+2):INDEX(ipopt_output!L:L, (ROW()-2)*averages!$U12+averages!$U12+1)), "")</f>
        <v/>
      </c>
      <c r="M12" t="str">
        <f>IFERROR(_xlfn.STDEV.S(INDEX(ipopt_output!M:M, (ROW()-2)*averages!$U12+2):INDEX(ipopt_output!M:M, (ROW()-2)*averages!$U12+averages!$U12+1)), "")</f>
        <v/>
      </c>
      <c r="N12" t="str">
        <f>IFERROR(_xlfn.STDEV.S(INDEX(ipopt_output!N:N, (ROW()-2)*averages!$U12+2):INDEX(ipopt_output!N:N, (ROW()-2)*averages!$U12+averages!$U12+1)), "")</f>
        <v/>
      </c>
      <c r="O12" t="str">
        <f>IFERROR(_xlfn.STDEV.S(INDEX(ipopt_output!O:O, (ROW()-2)*averages!$U12+2):INDEX(ipopt_output!O:O, (ROW()-2)*averages!$U12+averages!$U12+1)), "")</f>
        <v/>
      </c>
      <c r="P12" t="str">
        <f>IFERROR(_xlfn.STDEV.S(INDEX(ipopt_output!P:P, (ROW()-2)*averages!$U12+2):INDEX(ipopt_output!P:P, (ROW()-2)*averages!$U12+averages!$U12+1)), "")</f>
        <v/>
      </c>
      <c r="Q12" t="str">
        <f>IFERROR(_xlfn.STDEV.S(INDEX(ipopt_output!Q:Q, (ROW()-2)*averages!$U12+2):INDEX(ipopt_output!Q:Q, (ROW()-2)*averages!$U12+averages!$U12+1)), "")</f>
        <v/>
      </c>
      <c r="R12" t="str">
        <f>IFERROR(_xlfn.STDEV.S(INDEX(ipopt_output!R:R, (ROW()-2)*averages!$U12+2):INDEX(ipopt_output!R:R, (ROW()-2)*averages!$U12+averages!$U12+1)), "")</f>
        <v/>
      </c>
      <c r="S12" t="str">
        <f>IFERROR(_xlfn.STDEV.S(INDEX(ipopt_output!S:S, (ROW()-2)*averages!$U12+2):INDEX(ipopt_output!S:S, (ROW()-2)*averages!$U12+averages!$U12+1)), "")</f>
        <v/>
      </c>
      <c r="T12" t="str">
        <f>IFERROR(_xlfn.STDEV.S(INDEX(ipopt_output!T:T, (ROW()-2)*averages!$U12+2):INDEX(ipopt_output!T:T, (ROW()-2)*averages!$U12+averages!$U12+1)), "")</f>
        <v/>
      </c>
    </row>
    <row r="13" spans="1:20" x14ac:dyDescent="0.25">
      <c r="A13" cm="1">
        <f t="array" ref="A13">INDEX(ipopt_output!A:A, (ROW()-2)*averages!$U13+2)</f>
        <v>0</v>
      </c>
      <c r="B13" cm="1">
        <f t="array" ref="B13">INDEX(ipopt_output!B:B, (ROW()-2)*averages!$U13+2)</f>
        <v>0</v>
      </c>
      <c r="C13" t="str">
        <f>IFERROR(_xlfn.STDEV.S(INDEX(ipopt_output!C:C, (ROW()-2)*averages!$U13+2):INDEX(ipopt_output!C:C, (ROW()-2)*averages!$U13+averages!$U13+1)), "")</f>
        <v/>
      </c>
      <c r="D13" t="str">
        <f>IFERROR(_xlfn.STDEV.S(INDEX(ipopt_output!D:D, (ROW()-2)*averages!$U13+2):INDEX(ipopt_output!D:D, (ROW()-2)*averages!$U13+averages!$U13+1)), "")</f>
        <v/>
      </c>
      <c r="E13" t="str">
        <f>IFERROR(_xlfn.STDEV.S(INDEX(ipopt_output!E:E, (ROW()-2)*averages!$U13+2):INDEX(ipopt_output!E:E, (ROW()-2)*averages!$U13+averages!$U13+1)), "")</f>
        <v/>
      </c>
      <c r="F13" t="str">
        <f>IFERROR(_xlfn.STDEV.S(INDEX(ipopt_output!F:F, (ROW()-2)*averages!$U13+2):INDEX(ipopt_output!F:F, (ROW()-2)*averages!$U13+averages!$U13+1)), "")</f>
        <v/>
      </c>
      <c r="G13" t="str">
        <f>IFERROR(_xlfn.STDEV.S(INDEX(ipopt_output!G:G, (ROW()-2)*averages!$U13+2):INDEX(ipopt_output!G:G, (ROW()-2)*averages!$U13+averages!$U13+1)), "")</f>
        <v/>
      </c>
      <c r="H13" t="str">
        <f>IFERROR(_xlfn.STDEV.S(INDEX(ipopt_output!H:H, (ROW()-2)*averages!$U13+2):INDEX(ipopt_output!H:H, (ROW()-2)*averages!$U13+averages!$U13+1)), "")</f>
        <v/>
      </c>
      <c r="I13" t="str">
        <f>IFERROR(_xlfn.STDEV.S(INDEX(ipopt_output!I:I, (ROW()-2)*averages!$U13+2):INDEX(ipopt_output!I:I, (ROW()-2)*averages!$U13+averages!$U13+1)), "")</f>
        <v/>
      </c>
      <c r="J13" t="str">
        <f>IFERROR(_xlfn.STDEV.S(INDEX(ipopt_output!J:J, (ROW()-2)*averages!$U13+2):INDEX(ipopt_output!J:J, (ROW()-2)*averages!$U13+averages!$U13+1)), "")</f>
        <v/>
      </c>
      <c r="K13" t="str">
        <f>IFERROR(_xlfn.STDEV.S(INDEX(ipopt_output!K:K, (ROW()-2)*averages!$U13+2):INDEX(ipopt_output!K:K, (ROW()-2)*averages!$U13+averages!$U13+1)), "")</f>
        <v/>
      </c>
      <c r="L13" t="str">
        <f>IFERROR(_xlfn.STDEV.S(INDEX(ipopt_output!L:L, (ROW()-2)*averages!$U13+2):INDEX(ipopt_output!L:L, (ROW()-2)*averages!$U13+averages!$U13+1)), "")</f>
        <v/>
      </c>
      <c r="M13" t="str">
        <f>IFERROR(_xlfn.STDEV.S(INDEX(ipopt_output!M:M, (ROW()-2)*averages!$U13+2):INDEX(ipopt_output!M:M, (ROW()-2)*averages!$U13+averages!$U13+1)), "")</f>
        <v/>
      </c>
      <c r="N13" t="str">
        <f>IFERROR(_xlfn.STDEV.S(INDEX(ipopt_output!N:N, (ROW()-2)*averages!$U13+2):INDEX(ipopt_output!N:N, (ROW()-2)*averages!$U13+averages!$U13+1)), "")</f>
        <v/>
      </c>
      <c r="O13" t="str">
        <f>IFERROR(_xlfn.STDEV.S(INDEX(ipopt_output!O:O, (ROW()-2)*averages!$U13+2):INDEX(ipopt_output!O:O, (ROW()-2)*averages!$U13+averages!$U13+1)), "")</f>
        <v/>
      </c>
      <c r="P13" t="str">
        <f>IFERROR(_xlfn.STDEV.S(INDEX(ipopt_output!P:P, (ROW()-2)*averages!$U13+2):INDEX(ipopt_output!P:P, (ROW()-2)*averages!$U13+averages!$U13+1)), "")</f>
        <v/>
      </c>
      <c r="Q13" t="str">
        <f>IFERROR(_xlfn.STDEV.S(INDEX(ipopt_output!Q:Q, (ROW()-2)*averages!$U13+2):INDEX(ipopt_output!Q:Q, (ROW()-2)*averages!$U13+averages!$U13+1)), "")</f>
        <v/>
      </c>
      <c r="R13" t="str">
        <f>IFERROR(_xlfn.STDEV.S(INDEX(ipopt_output!R:R, (ROW()-2)*averages!$U13+2):INDEX(ipopt_output!R:R, (ROW()-2)*averages!$U13+averages!$U13+1)), "")</f>
        <v/>
      </c>
      <c r="S13" t="str">
        <f>IFERROR(_xlfn.STDEV.S(INDEX(ipopt_output!S:S, (ROW()-2)*averages!$U13+2):INDEX(ipopt_output!S:S, (ROW()-2)*averages!$U13+averages!$U13+1)), "")</f>
        <v/>
      </c>
      <c r="T13" t="str">
        <f>IFERROR(_xlfn.STDEV.S(INDEX(ipopt_output!T:T, (ROW()-2)*averages!$U13+2):INDEX(ipopt_output!T:T, (ROW()-2)*averages!$U13+averages!$U13+1)), 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3F5E-D816-42EF-BB38-36F4137B25B1}">
  <dimension ref="A1:A2"/>
  <sheetViews>
    <sheetView workbookViewId="0">
      <selection activeCell="A2" sqref="A2"/>
    </sheetView>
  </sheetViews>
  <sheetFormatPr defaultRowHeight="15" x14ac:dyDescent="0.25"/>
  <cols>
    <col min="1" max="1" width="79.42578125" bestFit="1" customWidth="1"/>
  </cols>
  <sheetData>
    <row r="1" spans="1:1" ht="30" x14ac:dyDescent="0.25">
      <c r="A1" s="1" t="s">
        <v>1</v>
      </c>
    </row>
    <row r="2" spans="1:1" x14ac:dyDescent="0.25">
      <c r="A2" t="str" cm="1">
        <f t="array" aca="1" ref="A2" ca="1">LEFT(CELL("filename"),FIND("[",CELL("filename"))-1)</f>
        <v>C:\Users\nr\Documents\Sync\IIT\Research Papers\MECC 2026\repo\docker\src\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D44D66-A883-4D6B-A2F1-938F4E620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ipopt_output</vt:lpstr>
      <vt:lpstr>averages</vt:lpstr>
      <vt:lpstr>std. dev</vt:lpstr>
      <vt:lpstr>csv</vt:lpstr>
      <vt:lpstr>CSVPath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Rosa</cp:lastModifiedBy>
  <dcterms:created xsi:type="dcterms:W3CDTF">2026-04-25T03:22:11Z</dcterms:created>
  <dcterms:modified xsi:type="dcterms:W3CDTF">2026-04-26T18:13:13Z</dcterms:modified>
</cp:coreProperties>
</file>