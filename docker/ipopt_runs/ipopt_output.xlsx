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r\Documents\Sync\IIT\Research Papers\MECC 2026\repo\docker\ipopt_runs\"/>
    </mc:Choice>
  </mc:AlternateContent>
  <xr:revisionPtr revIDLastSave="0" documentId="13_ncr:1_{7E91A081-7CF5-4B99-A918-A3526FFB2B16}" xr6:coauthVersionLast="47" xr6:coauthVersionMax="47" xr10:uidLastSave="{00000000-0000-0000-0000-000000000000}"/>
  <bookViews>
    <workbookView xWindow="-120" yWindow="-120" windowWidth="51840" windowHeight="21120" activeTab="4" xr2:uid="{0A151A32-934F-4762-939F-B462AE23ACAB}"/>
  </bookViews>
  <sheets>
    <sheet name="ipopt_output" sheetId="5" r:id="rId1"/>
    <sheet name="averages" sheetId="2" r:id="rId2"/>
    <sheet name="std. dev" sheetId="3" r:id="rId3"/>
    <sheet name="csv" sheetId="7" r:id="rId4"/>
    <sheet name="paper_table" sheetId="8" r:id="rId5"/>
  </sheets>
  <definedNames>
    <definedName name="CSVPath">csv!$A$2</definedName>
    <definedName name="ExternalData_1" localSheetId="0" hidden="1">ipopt_output!$A$1:$T$121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7" l="1" a="1"/>
  <c r="A2" i="7" s="1"/>
  <c r="U2" i="2"/>
  <c r="Q2" i="3" s="1"/>
  <c r="B1" i="3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A1" i="3"/>
  <c r="B1" i="2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A1" i="2"/>
  <c r="U3" i="2" l="1" a="1"/>
  <c r="U3" i="2" s="1"/>
  <c r="U4" i="2" s="1" a="1"/>
  <c r="U4" i="2" s="1"/>
  <c r="B2" i="3" a="1"/>
  <c r="B2" i="3" s="1"/>
  <c r="A2" i="3" a="1"/>
  <c r="A2" i="3" s="1"/>
  <c r="F2" i="2"/>
  <c r="F2" i="8" s="1"/>
  <c r="E2" i="2"/>
  <c r="J2" i="8" s="1"/>
  <c r="D2" i="2"/>
  <c r="I2" i="8" s="1"/>
  <c r="T2" i="3"/>
  <c r="S2" i="3"/>
  <c r="C2" i="2"/>
  <c r="H2" i="8" s="1"/>
  <c r="R2" i="3"/>
  <c r="E2" i="3"/>
  <c r="F2" i="3"/>
  <c r="K2" i="2"/>
  <c r="J2" i="3"/>
  <c r="M2" i="3"/>
  <c r="P2" i="3"/>
  <c r="G2" i="3"/>
  <c r="L2" i="2"/>
  <c r="M2" i="2"/>
  <c r="I2" i="3"/>
  <c r="N2" i="2"/>
  <c r="R2" i="2"/>
  <c r="E2" i="8" s="1"/>
  <c r="B2" i="2" a="1"/>
  <c r="B2" i="2" s="1"/>
  <c r="H2" i="3"/>
  <c r="O2" i="2"/>
  <c r="K2" i="3"/>
  <c r="P2" i="2"/>
  <c r="L2" i="3"/>
  <c r="Q2" i="2"/>
  <c r="T2" i="2"/>
  <c r="N2" i="3"/>
  <c r="S2" i="2"/>
  <c r="A2" i="2" a="1"/>
  <c r="A2" i="2" s="1"/>
  <c r="O2" i="3"/>
  <c r="C2" i="3"/>
  <c r="G2" i="2"/>
  <c r="D2" i="8" s="1"/>
  <c r="H2" i="2"/>
  <c r="D2" i="3"/>
  <c r="I2" i="2"/>
  <c r="J2" i="2"/>
  <c r="G2" i="8" s="1"/>
  <c r="D4" i="3" l="1"/>
  <c r="E4" i="3"/>
  <c r="J4" i="2"/>
  <c r="G4" i="8" s="1"/>
  <c r="T4" i="2"/>
  <c r="F4" i="3"/>
  <c r="K4" i="2"/>
  <c r="H4" i="3"/>
  <c r="M4" i="2"/>
  <c r="I4" i="3"/>
  <c r="L4" i="3"/>
  <c r="Q4" i="2"/>
  <c r="S4" i="2"/>
  <c r="G4" i="3"/>
  <c r="L4" i="2"/>
  <c r="N4" i="2"/>
  <c r="J4" i="3"/>
  <c r="O4" i="2"/>
  <c r="K4" i="3"/>
  <c r="P4" i="2"/>
  <c r="O4" i="3"/>
  <c r="M4" i="3"/>
  <c r="R4" i="2"/>
  <c r="E4" i="8" s="1"/>
  <c r="N4" i="3"/>
  <c r="T4" i="3"/>
  <c r="F4" i="2"/>
  <c r="F4" i="8" s="1"/>
  <c r="A4" i="3" a="1"/>
  <c r="A4" i="3" s="1"/>
  <c r="G4" i="2"/>
  <c r="D4" i="8" s="1"/>
  <c r="C4" i="3"/>
  <c r="B4" i="3" a="1"/>
  <c r="B4" i="3" s="1"/>
  <c r="H4" i="2"/>
  <c r="I4" i="2"/>
  <c r="A4" i="2" a="1"/>
  <c r="A4" i="2" s="1"/>
  <c r="C4" i="2"/>
  <c r="H4" i="8" s="1"/>
  <c r="R4" i="3"/>
  <c r="P4" i="3"/>
  <c r="S4" i="3"/>
  <c r="B4" i="2" a="1"/>
  <c r="B4" i="2" s="1"/>
  <c r="Q4" i="3"/>
  <c r="D4" i="2"/>
  <c r="I4" i="8" s="1"/>
  <c r="E4" i="2"/>
  <c r="J4" i="8" s="1"/>
  <c r="U5" i="2" a="1"/>
  <c r="U5" i="2" s="1"/>
  <c r="U6" i="2" s="1" a="1"/>
  <c r="U6" i="2" s="1"/>
  <c r="G3" i="2"/>
  <c r="D3" i="8" s="1"/>
  <c r="C3" i="3"/>
  <c r="H3" i="2"/>
  <c r="F3" i="3"/>
  <c r="K3" i="2"/>
  <c r="L3" i="2"/>
  <c r="J3" i="3"/>
  <c r="O3" i="2"/>
  <c r="D3" i="3"/>
  <c r="I3" i="2"/>
  <c r="J3" i="2"/>
  <c r="G3" i="8" s="1"/>
  <c r="R3" i="2"/>
  <c r="E3" i="8" s="1"/>
  <c r="E3" i="3"/>
  <c r="G3" i="3"/>
  <c r="H3" i="3"/>
  <c r="M3" i="2"/>
  <c r="N3" i="2"/>
  <c r="M3" i="3"/>
  <c r="I3" i="3"/>
  <c r="K3" i="3"/>
  <c r="P3" i="2"/>
  <c r="L3" i="3"/>
  <c r="Q3" i="2"/>
  <c r="R3" i="3"/>
  <c r="A3" i="3" a="1"/>
  <c r="A3" i="3" s="1"/>
  <c r="C3" i="2"/>
  <c r="H3" i="8" s="1"/>
  <c r="S3" i="3"/>
  <c r="B3" i="3" a="1"/>
  <c r="B3" i="3" s="1"/>
  <c r="D3" i="2"/>
  <c r="I3" i="8" s="1"/>
  <c r="T3" i="3"/>
  <c r="E3" i="2"/>
  <c r="J3" i="8" s="1"/>
  <c r="F3" i="2"/>
  <c r="F3" i="8" s="1"/>
  <c r="N3" i="3"/>
  <c r="T3" i="2"/>
  <c r="O3" i="3"/>
  <c r="P3" i="3"/>
  <c r="Q3" i="3"/>
  <c r="S3" i="2"/>
  <c r="B3" i="2" a="1"/>
  <c r="B3" i="2" s="1"/>
  <c r="A3" i="2" a="1"/>
  <c r="A3" i="2" s="1"/>
  <c r="K3" i="8" l="1"/>
  <c r="H6" i="3"/>
  <c r="A6" i="3" a="1"/>
  <c r="A6" i="3" s="1"/>
  <c r="I6" i="3"/>
  <c r="B6" i="3" a="1"/>
  <c r="B6" i="3" s="1"/>
  <c r="N6" i="2"/>
  <c r="M6" i="3"/>
  <c r="C6" i="2"/>
  <c r="H6" i="8" s="1"/>
  <c r="J6" i="3"/>
  <c r="O6" i="2"/>
  <c r="P6" i="2"/>
  <c r="L6" i="3"/>
  <c r="Q6" i="2"/>
  <c r="P6" i="3"/>
  <c r="K6" i="3"/>
  <c r="R6" i="2"/>
  <c r="E6" i="8" s="1"/>
  <c r="S6" i="3"/>
  <c r="N6" i="3"/>
  <c r="S6" i="2"/>
  <c r="O6" i="3"/>
  <c r="T6" i="2"/>
  <c r="D6" i="2"/>
  <c r="I6" i="8" s="1"/>
  <c r="Q6" i="3"/>
  <c r="R6" i="3"/>
  <c r="D6" i="3"/>
  <c r="E6" i="3"/>
  <c r="J6" i="2"/>
  <c r="G6" i="8" s="1"/>
  <c r="F6" i="3"/>
  <c r="K6" i="2"/>
  <c r="B6" i="2" a="1"/>
  <c r="B6" i="2" s="1"/>
  <c r="G6" i="3"/>
  <c r="L6" i="2"/>
  <c r="M6" i="2"/>
  <c r="H6" i="2"/>
  <c r="I6" i="2"/>
  <c r="E6" i="2"/>
  <c r="J6" i="8" s="1"/>
  <c r="F6" i="2"/>
  <c r="F6" i="8" s="1"/>
  <c r="G6" i="2"/>
  <c r="D6" i="8" s="1"/>
  <c r="C6" i="3"/>
  <c r="T6" i="3"/>
  <c r="A6" i="2" a="1"/>
  <c r="A6" i="2" s="1"/>
  <c r="F5" i="3"/>
  <c r="G5" i="3"/>
  <c r="L5" i="2"/>
  <c r="K5" i="3"/>
  <c r="H5" i="3"/>
  <c r="M5" i="2"/>
  <c r="N5" i="2"/>
  <c r="J5" i="3"/>
  <c r="O5" i="2"/>
  <c r="P5" i="2"/>
  <c r="Q5" i="3"/>
  <c r="I5" i="3"/>
  <c r="N5" i="3"/>
  <c r="S5" i="2"/>
  <c r="L5" i="3"/>
  <c r="Q5" i="2"/>
  <c r="M5" i="3"/>
  <c r="R5" i="2"/>
  <c r="E5" i="8" s="1"/>
  <c r="O5" i="3"/>
  <c r="T5" i="2"/>
  <c r="P5" i="3"/>
  <c r="C5" i="3"/>
  <c r="H5" i="2"/>
  <c r="B5" i="3" a="1"/>
  <c r="B5" i="3" s="1"/>
  <c r="D5" i="3"/>
  <c r="I5" i="2"/>
  <c r="E5" i="3"/>
  <c r="A5" i="3" a="1"/>
  <c r="A5" i="3" s="1"/>
  <c r="J5" i="2"/>
  <c r="G5" i="8" s="1"/>
  <c r="K5" i="2"/>
  <c r="E5" i="2"/>
  <c r="J5" i="8" s="1"/>
  <c r="F5" i="2"/>
  <c r="F5" i="8" s="1"/>
  <c r="G5" i="2"/>
  <c r="D5" i="8" s="1"/>
  <c r="S5" i="3"/>
  <c r="B5" i="2" a="1"/>
  <c r="B5" i="2" s="1"/>
  <c r="T5" i="3"/>
  <c r="R5" i="3"/>
  <c r="A5" i="2" a="1"/>
  <c r="A5" i="2" s="1"/>
  <c r="C5" i="2"/>
  <c r="H5" i="8" s="1"/>
  <c r="D5" i="2"/>
  <c r="I5" i="8" s="1"/>
  <c r="U7" i="2" a="1"/>
  <c r="U7" i="2" s="1"/>
  <c r="K5" i="8" l="1"/>
  <c r="J7" i="3"/>
  <c r="K7" i="3"/>
  <c r="A7" i="3" a="1"/>
  <c r="A7" i="3" s="1"/>
  <c r="P7" i="2"/>
  <c r="N7" i="3"/>
  <c r="C7" i="2"/>
  <c r="H7" i="8" s="1"/>
  <c r="L7" i="3"/>
  <c r="B7" i="3" a="1"/>
  <c r="B7" i="3" s="1"/>
  <c r="Q7" i="2"/>
  <c r="R7" i="2"/>
  <c r="E7" i="8" s="1"/>
  <c r="S7" i="2"/>
  <c r="O7" i="3"/>
  <c r="R7" i="3"/>
  <c r="M7" i="3"/>
  <c r="T7" i="2"/>
  <c r="P7" i="3"/>
  <c r="Q7" i="3"/>
  <c r="E7" i="2"/>
  <c r="J7" i="8" s="1"/>
  <c r="S7" i="3"/>
  <c r="D7" i="2"/>
  <c r="I7" i="8" s="1"/>
  <c r="T7" i="3"/>
  <c r="F7" i="3"/>
  <c r="G7" i="3"/>
  <c r="L7" i="2"/>
  <c r="H7" i="3"/>
  <c r="M7" i="2"/>
  <c r="A7" i="2" a="1"/>
  <c r="A7" i="2" s="1"/>
  <c r="B7" i="2" a="1"/>
  <c r="B7" i="2" s="1"/>
  <c r="I7" i="3"/>
  <c r="N7" i="2"/>
  <c r="O7" i="2"/>
  <c r="F7" i="2"/>
  <c r="F7" i="8" s="1"/>
  <c r="K7" i="2"/>
  <c r="I7" i="2"/>
  <c r="D7" i="3"/>
  <c r="J7" i="2"/>
  <c r="G7" i="8" s="1"/>
  <c r="C7" i="3"/>
  <c r="G7" i="2"/>
  <c r="D7" i="8" s="1"/>
  <c r="H7" i="2"/>
  <c r="E7" i="3"/>
  <c r="U8" i="2" a="1"/>
  <c r="U8" i="2" s="1"/>
  <c r="K7" i="8" l="1"/>
  <c r="U9" i="2" a="1"/>
  <c r="U9" i="2" s="1"/>
  <c r="U10" i="2" s="1" a="1"/>
  <c r="U10" i="2" s="1"/>
  <c r="L8" i="3"/>
  <c r="M8" i="3"/>
  <c r="R8" i="2"/>
  <c r="B8" i="3" a="1"/>
  <c r="B8" i="3" s="1"/>
  <c r="Q8" i="3"/>
  <c r="E8" i="2"/>
  <c r="N8" i="3"/>
  <c r="S8" i="2"/>
  <c r="T8" i="2"/>
  <c r="P8" i="3"/>
  <c r="T8" i="3"/>
  <c r="G8" i="2"/>
  <c r="O8" i="3"/>
  <c r="A8" i="3" a="1"/>
  <c r="A8" i="3" s="1"/>
  <c r="H8" i="2"/>
  <c r="R8" i="3"/>
  <c r="C8" i="2"/>
  <c r="S8" i="3"/>
  <c r="D8" i="2"/>
  <c r="F8" i="2"/>
  <c r="H8" i="3"/>
  <c r="I8" i="3"/>
  <c r="N8" i="2"/>
  <c r="J8" i="3"/>
  <c r="O8" i="2"/>
  <c r="K8" i="3"/>
  <c r="P8" i="2"/>
  <c r="Q8" i="2"/>
  <c r="B8" i="2" a="1"/>
  <c r="B8" i="2" s="1"/>
  <c r="A8" i="2" a="1"/>
  <c r="A8" i="2" s="1"/>
  <c r="C8" i="3"/>
  <c r="G8" i="3"/>
  <c r="J8" i="2"/>
  <c r="I8" i="2"/>
  <c r="L8" i="2"/>
  <c r="D8" i="3"/>
  <c r="M8" i="2"/>
  <c r="K8" i="2"/>
  <c r="E8" i="3"/>
  <c r="F8" i="3"/>
  <c r="U11" i="2" l="1" a="1"/>
  <c r="U11" i="2" s="1"/>
  <c r="P10" i="3"/>
  <c r="G10" i="3"/>
  <c r="Q10" i="3"/>
  <c r="B10" i="2" a="1"/>
  <c r="B10" i="2" s="1"/>
  <c r="I10" i="2"/>
  <c r="L10" i="2"/>
  <c r="R10" i="3"/>
  <c r="C10" i="2"/>
  <c r="D10" i="2"/>
  <c r="T10" i="3"/>
  <c r="E10" i="2"/>
  <c r="A10" i="2" a="1"/>
  <c r="A10" i="2" s="1"/>
  <c r="S10" i="3"/>
  <c r="F10" i="2"/>
  <c r="A10" i="3" a="1"/>
  <c r="A10" i="3" s="1"/>
  <c r="G10" i="2"/>
  <c r="C10" i="3"/>
  <c r="B10" i="3" a="1"/>
  <c r="B10" i="3" s="1"/>
  <c r="H10" i="2"/>
  <c r="D10" i="3"/>
  <c r="K10" i="2"/>
  <c r="E10" i="3"/>
  <c r="J10" i="2"/>
  <c r="F10" i="3"/>
  <c r="L10" i="3"/>
  <c r="M10" i="3"/>
  <c r="R10" i="2"/>
  <c r="N10" i="3"/>
  <c r="S10" i="2"/>
  <c r="O10" i="3"/>
  <c r="T10" i="2"/>
  <c r="H10" i="3"/>
  <c r="N10" i="2"/>
  <c r="Q10" i="2"/>
  <c r="M10" i="2"/>
  <c r="J10" i="3"/>
  <c r="P10" i="2"/>
  <c r="I10" i="3"/>
  <c r="O10" i="2"/>
  <c r="K10" i="3"/>
  <c r="O9" i="3"/>
  <c r="T9" i="2"/>
  <c r="B9" i="2" a="1"/>
  <c r="B9" i="2" s="1"/>
  <c r="R9" i="3"/>
  <c r="E9" i="3"/>
  <c r="P9" i="3"/>
  <c r="A9" i="2" a="1"/>
  <c r="A9" i="2" s="1"/>
  <c r="C9" i="2"/>
  <c r="H9" i="8" s="1"/>
  <c r="S9" i="3"/>
  <c r="A9" i="3" a="1"/>
  <c r="A9" i="3" s="1"/>
  <c r="I9" i="2"/>
  <c r="Q9" i="3"/>
  <c r="D9" i="2"/>
  <c r="I9" i="8" s="1"/>
  <c r="T9" i="3"/>
  <c r="B9" i="3" a="1"/>
  <c r="B9" i="3" s="1"/>
  <c r="E9" i="2"/>
  <c r="J9" i="8" s="1"/>
  <c r="G9" i="2"/>
  <c r="D9" i="8" s="1"/>
  <c r="F9" i="2"/>
  <c r="F9" i="8" s="1"/>
  <c r="C9" i="3"/>
  <c r="H9" i="2"/>
  <c r="D9" i="3"/>
  <c r="J9" i="3"/>
  <c r="K9" i="3"/>
  <c r="P9" i="2"/>
  <c r="L9" i="3"/>
  <c r="Q9" i="2"/>
  <c r="R9" i="2"/>
  <c r="E9" i="8" s="1"/>
  <c r="M9" i="3"/>
  <c r="N9" i="3"/>
  <c r="S9" i="2"/>
  <c r="L9" i="2"/>
  <c r="F9" i="3"/>
  <c r="M9" i="2"/>
  <c r="G9" i="3"/>
  <c r="N9" i="2"/>
  <c r="H9" i="3"/>
  <c r="O9" i="2"/>
  <c r="I9" i="3"/>
  <c r="K9" i="2"/>
  <c r="J9" i="2"/>
  <c r="G9" i="8" s="1"/>
  <c r="K9" i="8" l="1"/>
  <c r="U12" i="2" a="1"/>
  <c r="U12" i="2" s="1"/>
  <c r="R11" i="3"/>
  <c r="S11" i="3"/>
  <c r="D11" i="2"/>
  <c r="I11" i="8" s="1"/>
  <c r="G11" i="2"/>
  <c r="D11" i="8" s="1"/>
  <c r="C11" i="3"/>
  <c r="F11" i="3"/>
  <c r="K11" i="2"/>
  <c r="T11" i="3"/>
  <c r="E11" i="2"/>
  <c r="J11" i="8" s="1"/>
  <c r="F11" i="2"/>
  <c r="F11" i="8" s="1"/>
  <c r="A11" i="3" a="1"/>
  <c r="A11" i="3" s="1"/>
  <c r="I11" i="3"/>
  <c r="H11" i="2"/>
  <c r="B11" i="2" a="1"/>
  <c r="B11" i="2" s="1"/>
  <c r="A11" i="2" a="1"/>
  <c r="A11" i="2" s="1"/>
  <c r="D11" i="3"/>
  <c r="I11" i="2"/>
  <c r="E11" i="3"/>
  <c r="J11" i="2"/>
  <c r="G11" i="8" s="1"/>
  <c r="M11" i="2"/>
  <c r="G11" i="3"/>
  <c r="B11" i="3" a="1"/>
  <c r="B11" i="3" s="1"/>
  <c r="L11" i="2"/>
  <c r="H11" i="3"/>
  <c r="N11" i="3"/>
  <c r="O11" i="3"/>
  <c r="T11" i="2"/>
  <c r="P11" i="3"/>
  <c r="Q11" i="3"/>
  <c r="C11" i="2"/>
  <c r="H11" i="8" s="1"/>
  <c r="S11" i="2"/>
  <c r="N11" i="2"/>
  <c r="P11" i="2"/>
  <c r="R11" i="2"/>
  <c r="E11" i="8" s="1"/>
  <c r="K11" i="3"/>
  <c r="O11" i="2"/>
  <c r="J11" i="3"/>
  <c r="L11" i="3"/>
  <c r="M11" i="3"/>
  <c r="Q11" i="2"/>
  <c r="K11" i="8" l="1"/>
  <c r="U13" i="2" a="1"/>
  <c r="U13" i="2" s="1"/>
  <c r="T12" i="3"/>
  <c r="F12" i="2"/>
  <c r="F12" i="8" s="1"/>
  <c r="M12" i="2"/>
  <c r="G12" i="2"/>
  <c r="D12" i="8" s="1"/>
  <c r="C12" i="3"/>
  <c r="H12" i="2"/>
  <c r="D12" i="3"/>
  <c r="I12" i="2"/>
  <c r="E12" i="3"/>
  <c r="H12" i="3"/>
  <c r="O12" i="2"/>
  <c r="K12" i="3"/>
  <c r="J12" i="2"/>
  <c r="G12" i="8" s="1"/>
  <c r="B12" i="3" a="1"/>
  <c r="B12" i="3" s="1"/>
  <c r="F12" i="3"/>
  <c r="K12" i="2"/>
  <c r="B12" i="2" a="1"/>
  <c r="B12" i="2" s="1"/>
  <c r="A12" i="2" a="1"/>
  <c r="A12" i="2" s="1"/>
  <c r="G12" i="3"/>
  <c r="L12" i="2"/>
  <c r="I12" i="3"/>
  <c r="N12" i="2"/>
  <c r="J12" i="3"/>
  <c r="A12" i="3" a="1"/>
  <c r="A12" i="3" s="1"/>
  <c r="P12" i="3"/>
  <c r="Q12" i="3"/>
  <c r="R12" i="3"/>
  <c r="C12" i="2"/>
  <c r="H12" i="8" s="1"/>
  <c r="S12" i="3"/>
  <c r="D12" i="2"/>
  <c r="I12" i="8" s="1"/>
  <c r="E12" i="2"/>
  <c r="J12" i="8" s="1"/>
  <c r="L12" i="3"/>
  <c r="M12" i="3"/>
  <c r="N12" i="3"/>
  <c r="P12" i="2"/>
  <c r="O12" i="3"/>
  <c r="Q12" i="2"/>
  <c r="R12" i="2"/>
  <c r="E12" i="8" s="1"/>
  <c r="S12" i="2"/>
  <c r="T12" i="2"/>
  <c r="C13" i="3" l="1"/>
  <c r="H13" i="2"/>
  <c r="F13" i="3"/>
  <c r="O13" i="2"/>
  <c r="B13" i="2" a="1"/>
  <c r="B13" i="2" s="1"/>
  <c r="Q13" i="2"/>
  <c r="D13" i="3"/>
  <c r="I13" i="2"/>
  <c r="J13" i="2"/>
  <c r="G13" i="8" s="1"/>
  <c r="K13" i="2"/>
  <c r="J13" i="3"/>
  <c r="M13" i="3"/>
  <c r="E13" i="3"/>
  <c r="G13" i="3"/>
  <c r="L13" i="2"/>
  <c r="H13" i="3"/>
  <c r="M13" i="2"/>
  <c r="I13" i="3"/>
  <c r="N13" i="2"/>
  <c r="K13" i="8" s="1"/>
  <c r="A13" i="2" a="1"/>
  <c r="A13" i="2" s="1"/>
  <c r="K13" i="3"/>
  <c r="P13" i="2"/>
  <c r="L13" i="3"/>
  <c r="R13" i="3"/>
  <c r="S13" i="3"/>
  <c r="D13" i="2"/>
  <c r="I13" i="8" s="1"/>
  <c r="T13" i="3"/>
  <c r="E13" i="2"/>
  <c r="J13" i="8" s="1"/>
  <c r="F13" i="2"/>
  <c r="F13" i="8" s="1"/>
  <c r="G13" i="2"/>
  <c r="D13" i="8" s="1"/>
  <c r="Q13" i="3"/>
  <c r="C13" i="2"/>
  <c r="H13" i="8" s="1"/>
  <c r="R13" i="2"/>
  <c r="E13" i="8" s="1"/>
  <c r="S13" i="2"/>
  <c r="T13" i="2"/>
  <c r="B13" i="3" a="1"/>
  <c r="B13" i="3" s="1"/>
  <c r="A13" i="3" a="1"/>
  <c r="A13" i="3" s="1"/>
  <c r="N13" i="3"/>
  <c r="O13" i="3"/>
  <c r="P1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DD650C-4A24-42FF-B859-C1D988A60628}" keepAlive="1" name="Query - ipopt_output" description="Connection to the 'ipopt_output' query in the workbook." type="5" refreshedVersion="8" background="1" refreshOnLoad="1">
    <dbPr connection="Provider=Microsoft.Mashup.OleDb.1;Data Source=$Workbook$;Location=ipopt_output;Extended Properties=&quot;&quot;" command="SELECT * FROM [ipopt_outpu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<sst xmlns="http://schemas.openxmlformats.org/spreadsheetml/2006/main" count="47" uniqueCount="21">
  <si>
    <t>num_runs</t>
  </si>
  <si>
    <t>Cell A2 list the path to the .csv file.  It should update automatically.  If it doesn’t, then manually update the path</t>
  </si>
  <si>
    <t>Demo</t>
  </si>
  <si>
    <t>ODE</t>
  </si>
  <si>
    <t>TOL</t>
  </si>
  <si>
    <t>Objective</t>
  </si>
  <si>
    <t>Wall Time</t>
  </si>
  <si>
    <t>Iterations</t>
  </si>
  <si>
    <t>Eval. Time</t>
  </si>
  <si>
    <t>Variables</t>
  </si>
  <si>
    <t>Eq. Constr.</t>
  </si>
  <si>
    <t>Ineq. Constr.</t>
  </si>
  <si>
    <t>Presolve</t>
  </si>
  <si>
    <t>Cart-Pole</t>
  </si>
  <si>
    <t>COL3</t>
  </si>
  <si>
    <t>OOP</t>
  </si>
  <si>
    <t>AML</t>
  </si>
  <si>
    <t>RK1</t>
  </si>
  <si>
    <t>RK4</t>
  </si>
  <si>
    <t>Spot Jump Twist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</si>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</sst>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removeDataOnSave="1" connectionId="1" xr16:uid="{C0B7F773-EDD3-4EF7-AB61-8627A89F9C80}" autoFormatId="16" applyNumberFormats="0" applyBorderFormats="0" applyFontFormats="0" applyPatternFormats="0" applyAlignmentFormats="0" applyWidthHeightFormats="0">
  <queryTableRefresh nextId="21">
    <queryTableFields count="20">
      <queryTableField id="1" name="run" tableColumnId="1"/>
      <queryTableField id="2" name="status" tableColumnId="2"/>
      <queryTableField id="3" name="variables" tableColumnId="3"/>
      <queryTableField id="4" name="equality_constraints" tableColumnId="4"/>
      <queryTableField id="5" name="inequality_constraints" tableColumnId="5"/>
      <queryTableField id="6" name="iterations" tableColumnId="6"/>
      <queryTableField id="7" name="objective_unscaled" tableColumnId="7"/>
      <queryTableField id="8" name="constraint_violation_unscaled" tableColumnId="8"/>
      <queryTableField id="9" name="ipopt_cpu_secs" tableColumnId="9"/>
      <queryTableField id="10" name="nlp_cpu_secs" tableColumnId="10"/>
      <queryTableField id="11" name="python_wall" tableColumnId="11"/>
      <queryTableField id="12" name="ampl_wall" tableColumnId="12"/>
      <queryTableField id="13" name="solve_wall" tableColumnId="13"/>
      <queryTableField id="14" name="nvars" tableColumnId="14"/>
      <queryTableField id="15" name="snvars" tableColumnId="15"/>
      <queryTableField id="16" name="ncons" tableColumnId="16"/>
      <queryTableField id="17" name="sncons" tableColumnId="17"/>
      <queryTableField id="18" name="total_wall" tableColumnId="18"/>
      <queryTableField id="19" name="run_date" tableColumnId="19"/>
      <queryTableField id="20" name="run_start_tim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1AC4A6-E5FF-497A-A1B4-BC897A570A75}" name="ipopt_output" displayName="ipopt_output" ref="A1:T121" tableType="queryTable" totalsRowShown="0">
  <autoFilter ref="A1:T121" xr:uid="{DD1AC4A6-E5FF-497A-A1B4-BC897A570A75}"/>
  <tableColumns count="20">
    <tableColumn id="1" xr3:uid="{4B2F80CD-C210-4135-AC56-79A0A2F18D03}" uniqueName="1" name="run" queryTableFieldId="1" dataDxfId="1"/>
    <tableColumn id="2" xr3:uid="{33FF0FB2-9774-4A9F-B713-5D54016DB96E}" uniqueName="2" name="status" queryTableFieldId="2" dataDxfId="0"/>
    <tableColumn id="3" xr3:uid="{85719C07-C2E5-4E34-819B-9701551C460B}" uniqueName="3" name="variables" queryTableFieldId="3"/>
    <tableColumn id="4" xr3:uid="{2AD69530-84AD-49F3-BF3D-7EF8D63CB776}" uniqueName="4" name="equality_constraints" queryTableFieldId="4"/>
    <tableColumn id="5" xr3:uid="{807941AB-E4B7-4E13-AB44-1B0D73039EB1}" uniqueName="5" name="inequality_constraints" queryTableFieldId="5"/>
    <tableColumn id="6" xr3:uid="{D2F9A225-A2B0-4142-916C-47A9C657F9B2}" uniqueName="6" name="iterations" queryTableFieldId="6"/>
    <tableColumn id="7" xr3:uid="{EEDA56D3-3525-40C5-9BF4-5D62B4E2C89F}" uniqueName="7" name="objective_unscaled" queryTableFieldId="7"/>
    <tableColumn id="8" xr3:uid="{3839E1AF-4F0E-4204-AEAE-B887009C2F9A}" uniqueName="8" name="constraint_violation_unscaled" queryTableFieldId="8"/>
    <tableColumn id="9" xr3:uid="{E2C84407-9543-4044-8B32-3DA4C295D6CE}" uniqueName="9" name="ipopt_cpu_secs" queryTableFieldId="9"/>
    <tableColumn id="10" xr3:uid="{2ED249A4-0B5E-42EA-8C07-F9618AF756A9}" uniqueName="10" name="nlp_cpu_secs" queryTableFieldId="10"/>
    <tableColumn id="11" xr3:uid="{00BFCDC0-7798-49C4-B2BB-9574314A64C1}" uniqueName="11" name="python_wall" queryTableFieldId="11"/>
    <tableColumn id="12" xr3:uid="{F02E8B94-0E0D-4299-BC77-DB00DCD4C608}" uniqueName="12" name="ampl_wall" queryTableFieldId="12"/>
    <tableColumn id="13" xr3:uid="{380142DB-A4E5-454E-BB89-3D44651A8DB1}" uniqueName="13" name="solve_wall" queryTableFieldId="13"/>
    <tableColumn id="14" xr3:uid="{D7051EAB-4414-405D-B12A-E3DC733F0847}" uniqueName="14" name="nvars" queryTableFieldId="14"/>
    <tableColumn id="15" xr3:uid="{B840985A-85A8-4E66-9569-155FC7CF9E7A}" uniqueName="15" name="snvars" queryTableFieldId="15"/>
    <tableColumn id="16" xr3:uid="{764ACA5E-90E7-4A69-A1E5-017987182E0C}" uniqueName="16" name="ncons" queryTableFieldId="16"/>
    <tableColumn id="17" xr3:uid="{CAD39197-DDBB-411E-9439-875EF7C6D37E}" uniqueName="17" name="sncons" queryTableFieldId="17"/>
    <tableColumn id="18" xr3:uid="{4AC2ACBC-D656-4593-B169-6FC9AC4345AC}" uniqueName="18" name="total_wall" queryTableFieldId="18"/>
    <tableColumn id="19" xr3:uid="{E36D7E14-828D-46F4-B4D5-2C6D43E3BDCE}" uniqueName="19" name="run_date" queryTableFieldId="19"/>
    <tableColumn id="20" xr3:uid="{03E551A3-C61D-4531-9202-31100C3BC5DC}" uniqueName="20" name="run_start_time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D80A-C988-4EFA-B6E1-71ECA4A1D1AC}">
  <dimension ref="A1:T121"/>
  <sheetViews>
    <sheetView workbookViewId="0"/>
  </sheetViews>
  <sheetFormatPr defaultRowHeight="15" x14ac:dyDescent="0.25"/>
  <cols>
    <col min="1" max="1" width="24.140625" bestFit="1" customWidth="1"/>
    <col min="2" max="2" width="63.28515625" bestFit="1" customWidth="1"/>
    <col min="3" max="3" width="11.42578125" bestFit="1" customWidth="1"/>
    <col min="4" max="4" width="21.85546875" bestFit="1" customWidth="1"/>
    <col min="5" max="5" width="23.7109375" bestFit="1" customWidth="1"/>
    <col min="6" max="6" width="12" bestFit="1" customWidth="1"/>
    <col min="7" max="7" width="21" bestFit="1" customWidth="1"/>
    <col min="8" max="8" width="30.7109375" bestFit="1" customWidth="1"/>
    <col min="9" max="9" width="17.28515625" bestFit="1" customWidth="1"/>
    <col min="10" max="10" width="15.42578125" bestFit="1" customWidth="1"/>
    <col min="11" max="11" width="14" bestFit="1" customWidth="1"/>
    <col min="12" max="12" width="12.140625" bestFit="1" customWidth="1"/>
    <col min="13" max="13" width="12.5703125" bestFit="1" customWidth="1"/>
    <col min="14" max="14" width="8.140625" bestFit="1" customWidth="1"/>
    <col min="16" max="16" width="8.7109375" bestFit="1" customWidth="1"/>
    <col min="17" max="17" width="9.7109375" bestFit="1" customWidth="1"/>
    <col min="18" max="18" width="11.85546875" bestFit="1" customWidth="1"/>
    <col min="19" max="19" width="11.140625" bestFit="1" customWidth="1"/>
    <col min="20" max="20" width="16.42578125" bestFit="1" customWidth="1"/>
  </cols>
  <sheetData>
    <row r="1" spans="1:20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pans="1:20" x14ac:dyDescent="0.25">
      <c r="A2" s="4"/>
      <c r="B2" s="4"/>
      <c r="C2"/>
      <c r="D2"/>
      <c r="E2"/>
      <c r="F2"/>
      <c r="G2"/>
      <c r="H2"/>
      <c r="I2"/>
      <c r="J2"/>
      <c r="K2"/>
      <c r="R2"/>
      <c r="S2"/>
      <c r="T2"/>
    </row>
    <row r="3" spans="1:20" x14ac:dyDescent="0.25">
      <c r="A3" s="4"/>
      <c r="B3" s="4"/>
      <c r="C3"/>
      <c r="D3"/>
      <c r="E3"/>
      <c r="F3"/>
      <c r="G3"/>
      <c r="H3"/>
      <c r="I3"/>
      <c r="J3"/>
      <c r="K3"/>
      <c r="R3"/>
      <c r="S3"/>
      <c r="T3"/>
    </row>
    <row r="4" spans="1:20" x14ac:dyDescent="0.25">
      <c r="A4" s="4"/>
      <c r="B4" s="4"/>
      <c r="C4"/>
      <c r="D4"/>
      <c r="E4"/>
      <c r="F4"/>
      <c r="G4"/>
      <c r="H4"/>
      <c r="I4"/>
      <c r="J4"/>
      <c r="K4"/>
      <c r="R4"/>
      <c r="S4"/>
      <c r="T4"/>
    </row>
    <row r="5" spans="1:20" x14ac:dyDescent="0.25">
      <c r="A5" s="4"/>
      <c r="B5" s="4"/>
      <c r="C5"/>
      <c r="D5"/>
      <c r="E5"/>
      <c r="F5"/>
      <c r="G5"/>
      <c r="H5"/>
      <c r="I5"/>
      <c r="J5"/>
      <c r="K5"/>
      <c r="R5"/>
      <c r="S5"/>
      <c r="T5"/>
    </row>
    <row r="6" spans="1:20" x14ac:dyDescent="0.25">
      <c r="A6" s="4"/>
      <c r="B6" s="4"/>
      <c r="C6"/>
      <c r="D6"/>
      <c r="E6"/>
      <c r="F6"/>
      <c r="G6"/>
      <c r="H6"/>
      <c r="I6"/>
      <c r="J6"/>
      <c r="K6"/>
      <c r="R6"/>
      <c r="S6"/>
      <c r="T6"/>
    </row>
    <row r="7" spans="1:20" x14ac:dyDescent="0.25">
      <c r="A7" s="4"/>
      <c r="B7" s="4"/>
      <c r="C7"/>
      <c r="D7"/>
      <c r="E7"/>
      <c r="F7"/>
      <c r="G7"/>
      <c r="H7"/>
      <c r="I7"/>
      <c r="J7"/>
      <c r="K7"/>
      <c r="R7"/>
      <c r="S7"/>
      <c r="T7"/>
    </row>
    <row r="8" spans="1:20" x14ac:dyDescent="0.25">
      <c r="A8" s="4"/>
      <c r="B8" s="4"/>
      <c r="C8"/>
      <c r="D8"/>
      <c r="E8"/>
      <c r="F8"/>
      <c r="G8"/>
      <c r="H8"/>
      <c r="I8"/>
      <c r="J8"/>
      <c r="K8"/>
      <c r="R8"/>
      <c r="S8"/>
      <c r="T8"/>
    </row>
    <row r="9" spans="1:20" x14ac:dyDescent="0.25">
      <c r="A9" s="4"/>
      <c r="B9" s="4"/>
      <c r="C9"/>
      <c r="D9"/>
      <c r="E9"/>
      <c r="F9"/>
      <c r="G9"/>
      <c r="H9"/>
      <c r="I9"/>
      <c r="J9"/>
      <c r="K9"/>
      <c r="R9"/>
      <c r="S9"/>
      <c r="T9"/>
    </row>
    <row r="10" spans="1:20" x14ac:dyDescent="0.25">
      <c r="A10" s="4"/>
      <c r="B10" s="4"/>
      <c r="C10"/>
      <c r="D10"/>
      <c r="E10"/>
      <c r="F10"/>
      <c r="G10"/>
      <c r="H10"/>
      <c r="I10"/>
      <c r="J10"/>
      <c r="K10"/>
      <c r="R10"/>
      <c r="S10"/>
      <c r="T10"/>
    </row>
    <row r="11" spans="1:20" x14ac:dyDescent="0.25">
      <c r="A11" s="4"/>
      <c r="B11" s="4"/>
      <c r="C11"/>
      <c r="D11"/>
      <c r="E11"/>
      <c r="F11"/>
      <c r="G11"/>
      <c r="H11"/>
      <c r="I11"/>
      <c r="J11"/>
      <c r="K11"/>
      <c r="R11"/>
      <c r="S11"/>
      <c r="T11"/>
    </row>
    <row r="12" spans="1:20" x14ac:dyDescent="0.25">
      <c r="A12" s="4"/>
      <c r="B12" s="4"/>
      <c r="C12"/>
      <c r="D12"/>
      <c r="E12"/>
      <c r="F12"/>
      <c r="G12"/>
      <c r="H12"/>
      <c r="I12"/>
      <c r="J12"/>
      <c r="L12"/>
      <c r="M12"/>
      <c r="N12"/>
      <c r="O12"/>
      <c r="P12"/>
      <c r="Q12"/>
      <c r="R12"/>
      <c r="S12"/>
      <c r="T12"/>
    </row>
    <row r="13" spans="1:20" x14ac:dyDescent="0.25">
      <c r="A13" s="4"/>
      <c r="B13" s="4"/>
      <c r="C13"/>
      <c r="D13"/>
      <c r="E13"/>
      <c r="F13"/>
      <c r="G13"/>
      <c r="H13"/>
      <c r="I13"/>
      <c r="J13"/>
      <c r="L13"/>
      <c r="M13"/>
      <c r="N13"/>
      <c r="O13"/>
      <c r="P13"/>
      <c r="Q13"/>
      <c r="R13"/>
      <c r="S13"/>
      <c r="T13"/>
    </row>
    <row r="14" spans="1:20" x14ac:dyDescent="0.25">
      <c r="A14" s="4"/>
      <c r="B14" s="4"/>
      <c r="C14"/>
      <c r="D14"/>
      <c r="E14"/>
      <c r="F14"/>
      <c r="G14"/>
      <c r="H14"/>
      <c r="I14"/>
      <c r="J14"/>
      <c r="L14"/>
      <c r="M14"/>
      <c r="N14"/>
      <c r="O14"/>
      <c r="P14"/>
      <c r="Q14"/>
      <c r="R14"/>
      <c r="S14"/>
      <c r="T14"/>
    </row>
    <row r="15" spans="1:20" x14ac:dyDescent="0.25">
      <c r="A15" s="4"/>
      <c r="B15" s="4"/>
      <c r="C15"/>
      <c r="D15"/>
      <c r="E15"/>
      <c r="F15"/>
      <c r="G15"/>
      <c r="H15"/>
      <c r="I15"/>
      <c r="J15"/>
      <c r="L15"/>
      <c r="M15"/>
      <c r="N15"/>
      <c r="O15"/>
      <c r="P15"/>
      <c r="Q15"/>
      <c r="R15"/>
      <c r="S15"/>
      <c r="T15"/>
    </row>
    <row r="16" spans="1:20" x14ac:dyDescent="0.25">
      <c r="A16" s="4"/>
      <c r="B16" s="4"/>
      <c r="C16"/>
      <c r="D16"/>
      <c r="E16"/>
      <c r="F16"/>
      <c r="G16"/>
      <c r="H16"/>
      <c r="I16"/>
      <c r="J16"/>
      <c r="L16"/>
      <c r="M16"/>
      <c r="N16"/>
      <c r="O16"/>
      <c r="P16"/>
      <c r="Q16"/>
      <c r="R16"/>
      <c r="S16"/>
      <c r="T16"/>
    </row>
    <row r="17" spans="1:20" x14ac:dyDescent="0.25">
      <c r="A17" s="4"/>
      <c r="B17" s="4"/>
      <c r="C17"/>
      <c r="D17"/>
      <c r="E17"/>
      <c r="F17"/>
      <c r="G17"/>
      <c r="H17"/>
      <c r="I17"/>
      <c r="J17"/>
      <c r="L17"/>
      <c r="M17"/>
      <c r="N17"/>
      <c r="O17"/>
      <c r="P17"/>
      <c r="Q17"/>
      <c r="R17"/>
      <c r="S17"/>
      <c r="T17"/>
    </row>
    <row r="18" spans="1:20" x14ac:dyDescent="0.25">
      <c r="A18" s="4"/>
      <c r="B18" s="4"/>
      <c r="C18"/>
      <c r="D18"/>
      <c r="E18"/>
      <c r="F18"/>
      <c r="G18"/>
      <c r="H18"/>
      <c r="I18"/>
      <c r="J18"/>
      <c r="L18"/>
      <c r="M18"/>
      <c r="N18"/>
      <c r="O18"/>
      <c r="P18"/>
      <c r="Q18"/>
      <c r="R18"/>
      <c r="S18"/>
      <c r="T18"/>
    </row>
    <row r="19" spans="1:20" x14ac:dyDescent="0.25">
      <c r="A19" s="4"/>
      <c r="B19" s="4"/>
      <c r="C19"/>
      <c r="D19"/>
      <c r="E19"/>
      <c r="F19"/>
      <c r="G19"/>
      <c r="H19"/>
      <c r="I19"/>
      <c r="J19"/>
      <c r="L19"/>
      <c r="M19"/>
      <c r="N19"/>
      <c r="O19"/>
      <c r="P19"/>
      <c r="Q19"/>
      <c r="R19"/>
      <c r="S19"/>
      <c r="T19"/>
    </row>
    <row r="20" spans="1:20" x14ac:dyDescent="0.25">
      <c r="A20" s="4"/>
      <c r="B20" s="4"/>
      <c r="C20"/>
      <c r="D20"/>
      <c r="E20"/>
      <c r="F20"/>
      <c r="G20"/>
      <c r="H20"/>
      <c r="I20"/>
      <c r="J20"/>
      <c r="L20"/>
      <c r="M20"/>
      <c r="N20"/>
      <c r="O20"/>
      <c r="P20"/>
      <c r="Q20"/>
      <c r="R20"/>
      <c r="S20"/>
      <c r="T20"/>
    </row>
    <row r="21" spans="1:20" x14ac:dyDescent="0.25">
      <c r="A21" s="4"/>
      <c r="B21" s="4"/>
      <c r="C21"/>
      <c r="D21"/>
      <c r="E21"/>
      <c r="F21"/>
      <c r="G21"/>
      <c r="H21"/>
      <c r="I21"/>
      <c r="J21"/>
      <c r="L21"/>
      <c r="M21"/>
      <c r="N21"/>
      <c r="O21"/>
      <c r="P21"/>
      <c r="Q21"/>
      <c r="R21"/>
      <c r="S21"/>
      <c r="T21"/>
    </row>
    <row r="22" spans="1:20" x14ac:dyDescent="0.25">
      <c r="A22" s="4"/>
      <c r="B22" s="4"/>
      <c r="C22"/>
      <c r="D22"/>
      <c r="E22"/>
      <c r="F22"/>
      <c r="G22"/>
      <c r="H22"/>
      <c r="I22"/>
      <c r="J22"/>
      <c r="K22"/>
      <c r="R22"/>
      <c r="S22"/>
      <c r="T22"/>
    </row>
    <row r="23" spans="1:20" x14ac:dyDescent="0.25">
      <c r="A23" s="4"/>
      <c r="B23" s="4"/>
      <c r="C23"/>
      <c r="D23"/>
      <c r="E23"/>
      <c r="F23"/>
      <c r="G23"/>
      <c r="H23"/>
      <c r="I23"/>
      <c r="J23"/>
      <c r="K23"/>
      <c r="R23"/>
      <c r="S23"/>
      <c r="T23"/>
    </row>
    <row r="24" spans="1:20" x14ac:dyDescent="0.25">
      <c r="A24" s="4"/>
      <c r="B24" s="4"/>
      <c r="C24"/>
      <c r="D24"/>
      <c r="E24"/>
      <c r="F24"/>
      <c r="G24"/>
      <c r="H24"/>
      <c r="I24"/>
      <c r="J24"/>
      <c r="K24"/>
      <c r="R24"/>
      <c r="S24"/>
      <c r="T24"/>
    </row>
    <row r="25" spans="1:20" x14ac:dyDescent="0.25">
      <c r="A25" s="4"/>
      <c r="B25" s="4"/>
      <c r="C25"/>
      <c r="D25"/>
      <c r="E25"/>
      <c r="F25"/>
      <c r="G25"/>
      <c r="H25"/>
      <c r="I25"/>
      <c r="J25"/>
      <c r="K25"/>
      <c r="R25"/>
      <c r="S25"/>
      <c r="T25"/>
    </row>
    <row r="26" spans="1:20" x14ac:dyDescent="0.25">
      <c r="A26" s="4"/>
      <c r="B26" s="4"/>
      <c r="C26"/>
      <c r="D26"/>
      <c r="E26"/>
      <c r="F26"/>
      <c r="G26"/>
      <c r="H26"/>
      <c r="I26"/>
      <c r="J26"/>
      <c r="K26"/>
      <c r="R26"/>
      <c r="S26"/>
      <c r="T26"/>
    </row>
    <row r="27" spans="1:20" x14ac:dyDescent="0.25">
      <c r="A27" s="4"/>
      <c r="B27" s="4"/>
      <c r="C27"/>
      <c r="D27"/>
      <c r="E27"/>
      <c r="F27"/>
      <c r="G27"/>
      <c r="H27"/>
      <c r="I27"/>
      <c r="J27"/>
      <c r="K27"/>
      <c r="R27"/>
      <c r="S27"/>
      <c r="T27"/>
    </row>
    <row r="28" spans="1:20" x14ac:dyDescent="0.25">
      <c r="A28" s="4"/>
      <c r="B28" s="4"/>
      <c r="C28"/>
      <c r="D28"/>
      <c r="E28"/>
      <c r="F28"/>
      <c r="G28"/>
      <c r="H28"/>
      <c r="I28"/>
      <c r="J28"/>
      <c r="K28"/>
      <c r="R28"/>
      <c r="S28"/>
      <c r="T28"/>
    </row>
    <row r="29" spans="1:20" x14ac:dyDescent="0.25">
      <c r="A29" s="4"/>
      <c r="B29" s="4"/>
      <c r="C29"/>
      <c r="D29"/>
      <c r="E29"/>
      <c r="F29"/>
      <c r="G29"/>
      <c r="H29"/>
      <c r="I29"/>
      <c r="J29"/>
      <c r="K29"/>
      <c r="R29"/>
      <c r="S29"/>
      <c r="T29"/>
    </row>
    <row r="30" spans="1:20" x14ac:dyDescent="0.25">
      <c r="A30" s="4"/>
      <c r="B30" s="4"/>
      <c r="C30"/>
      <c r="D30"/>
      <c r="E30"/>
      <c r="F30"/>
      <c r="G30"/>
      <c r="H30"/>
      <c r="I30"/>
      <c r="J30"/>
      <c r="K30"/>
      <c r="R30"/>
      <c r="S30"/>
      <c r="T30"/>
    </row>
    <row r="31" spans="1:20" x14ac:dyDescent="0.25">
      <c r="A31" s="4"/>
      <c r="B31" s="4"/>
      <c r="C31"/>
      <c r="D31"/>
      <c r="E31"/>
      <c r="F31"/>
      <c r="G31"/>
      <c r="H31"/>
      <c r="I31"/>
      <c r="J31"/>
      <c r="K31"/>
      <c r="R31"/>
      <c r="S31"/>
      <c r="T31"/>
    </row>
    <row r="32" spans="1:20" x14ac:dyDescent="0.25">
      <c r="A32" s="4"/>
      <c r="B32" s="4"/>
      <c r="C32"/>
      <c r="D32"/>
      <c r="E32"/>
      <c r="F32"/>
      <c r="G32"/>
      <c r="H32"/>
      <c r="I32"/>
      <c r="J32"/>
      <c r="L32"/>
      <c r="M32"/>
      <c r="N32"/>
      <c r="O32"/>
      <c r="P32"/>
      <c r="Q32"/>
      <c r="R32"/>
      <c r="S32"/>
      <c r="T32"/>
    </row>
    <row r="33" spans="1:20" x14ac:dyDescent="0.25">
      <c r="A33" s="4"/>
      <c r="B33" s="4"/>
      <c r="C33"/>
      <c r="D33"/>
      <c r="E33"/>
      <c r="F33"/>
      <c r="G33"/>
      <c r="H33"/>
      <c r="I33"/>
      <c r="J33"/>
      <c r="L33"/>
      <c r="M33"/>
      <c r="N33"/>
      <c r="O33"/>
      <c r="P33"/>
      <c r="Q33"/>
      <c r="R33"/>
      <c r="S33"/>
      <c r="T33"/>
    </row>
    <row r="34" spans="1:20" x14ac:dyDescent="0.25">
      <c r="A34" s="4"/>
      <c r="B34" s="4"/>
      <c r="C34"/>
      <c r="D34"/>
      <c r="E34"/>
      <c r="F34"/>
      <c r="G34"/>
      <c r="H34"/>
      <c r="I34"/>
      <c r="J34"/>
      <c r="L34"/>
      <c r="M34"/>
      <c r="N34"/>
      <c r="O34"/>
      <c r="P34"/>
      <c r="Q34"/>
      <c r="R34"/>
      <c r="S34"/>
      <c r="T34"/>
    </row>
    <row r="35" spans="1:20" x14ac:dyDescent="0.25">
      <c r="A35" s="4"/>
      <c r="B35" s="4"/>
      <c r="C35"/>
      <c r="D35"/>
      <c r="E35"/>
      <c r="F35"/>
      <c r="G35"/>
      <c r="H35"/>
      <c r="I35"/>
      <c r="J35"/>
      <c r="L35"/>
      <c r="M35"/>
      <c r="N35"/>
      <c r="O35"/>
      <c r="P35"/>
      <c r="Q35"/>
      <c r="R35"/>
      <c r="S35"/>
      <c r="T35"/>
    </row>
    <row r="36" spans="1:20" x14ac:dyDescent="0.25">
      <c r="A36" s="4"/>
      <c r="B36" s="4"/>
      <c r="C36"/>
      <c r="D36"/>
      <c r="E36"/>
      <c r="F36"/>
      <c r="G36"/>
      <c r="H36"/>
      <c r="I36"/>
      <c r="J36"/>
      <c r="L36"/>
      <c r="M36"/>
      <c r="N36"/>
      <c r="O36"/>
      <c r="P36"/>
      <c r="Q36"/>
      <c r="R36"/>
      <c r="S36"/>
      <c r="T36"/>
    </row>
    <row r="37" spans="1:20" x14ac:dyDescent="0.25">
      <c r="A37" s="4"/>
      <c r="B37" s="4"/>
      <c r="C37"/>
      <c r="D37"/>
      <c r="E37"/>
      <c r="F37"/>
      <c r="G37"/>
      <c r="H37"/>
      <c r="I37"/>
      <c r="J37"/>
      <c r="L37"/>
      <c r="M37"/>
      <c r="N37"/>
      <c r="O37"/>
      <c r="P37"/>
      <c r="Q37"/>
      <c r="R37"/>
      <c r="S37"/>
      <c r="T37"/>
    </row>
    <row r="38" spans="1:20" x14ac:dyDescent="0.25">
      <c r="A38" s="4"/>
      <c r="B38" s="4"/>
      <c r="C38"/>
      <c r="D38"/>
      <c r="E38"/>
      <c r="F38"/>
      <c r="G38"/>
      <c r="H38"/>
      <c r="I38"/>
      <c r="J38"/>
      <c r="L38"/>
      <c r="M38"/>
      <c r="N38"/>
      <c r="O38"/>
      <c r="P38"/>
      <c r="Q38"/>
      <c r="R38"/>
      <c r="S38"/>
      <c r="T38"/>
    </row>
    <row r="39" spans="1:20" x14ac:dyDescent="0.25">
      <c r="A39" s="4"/>
      <c r="B39" s="4"/>
      <c r="C39"/>
      <c r="D39"/>
      <c r="E39"/>
      <c r="F39"/>
      <c r="G39"/>
      <c r="H39"/>
      <c r="I39"/>
      <c r="J39"/>
      <c r="L39"/>
      <c r="M39"/>
      <c r="N39"/>
      <c r="O39"/>
      <c r="P39"/>
      <c r="Q39"/>
      <c r="R39"/>
      <c r="S39"/>
      <c r="T39"/>
    </row>
    <row r="40" spans="1:20" x14ac:dyDescent="0.25">
      <c r="A40" s="4"/>
      <c r="B40" s="4"/>
      <c r="C40"/>
      <c r="D40"/>
      <c r="E40"/>
      <c r="F40"/>
      <c r="G40"/>
      <c r="H40"/>
      <c r="I40"/>
      <c r="J40"/>
      <c r="L40"/>
      <c r="M40"/>
      <c r="N40"/>
      <c r="O40"/>
      <c r="P40"/>
      <c r="Q40"/>
      <c r="R40"/>
      <c r="S40"/>
      <c r="T40"/>
    </row>
    <row r="41" spans="1:20" x14ac:dyDescent="0.25">
      <c r="A41" s="4"/>
      <c r="B41" s="4"/>
      <c r="C41"/>
      <c r="D41"/>
      <c r="E41"/>
      <c r="F41"/>
      <c r="G41"/>
      <c r="H41"/>
      <c r="I41"/>
      <c r="J41"/>
      <c r="L41"/>
      <c r="M41"/>
      <c r="N41"/>
      <c r="O41"/>
      <c r="P41"/>
      <c r="Q41"/>
      <c r="R41"/>
      <c r="S41"/>
      <c r="T41"/>
    </row>
    <row r="42" spans="1:20" x14ac:dyDescent="0.25">
      <c r="A42" s="4"/>
      <c r="B42" s="4"/>
      <c r="C42"/>
      <c r="D42"/>
      <c r="E42"/>
      <c r="F42"/>
      <c r="G42"/>
      <c r="H42"/>
      <c r="I42"/>
      <c r="J42"/>
      <c r="K42"/>
      <c r="R42"/>
      <c r="S42"/>
      <c r="T42"/>
    </row>
    <row r="43" spans="1:20" x14ac:dyDescent="0.25">
      <c r="A43" s="4"/>
      <c r="B43" s="4"/>
      <c r="C43"/>
      <c r="D43"/>
      <c r="E43"/>
      <c r="F43"/>
      <c r="G43"/>
      <c r="H43"/>
      <c r="I43"/>
      <c r="J43"/>
      <c r="K43"/>
      <c r="R43"/>
      <c r="S43"/>
      <c r="T43"/>
    </row>
    <row r="44" spans="1:20" x14ac:dyDescent="0.25">
      <c r="A44" s="4"/>
      <c r="B44" s="4"/>
      <c r="C44"/>
      <c r="D44"/>
      <c r="E44"/>
      <c r="F44"/>
      <c r="G44"/>
      <c r="H44"/>
      <c r="I44"/>
      <c r="J44"/>
      <c r="K44"/>
      <c r="R44"/>
      <c r="S44"/>
      <c r="T44"/>
    </row>
    <row r="45" spans="1:20" x14ac:dyDescent="0.25">
      <c r="A45" s="4"/>
      <c r="B45" s="4"/>
      <c r="C45"/>
      <c r="D45"/>
      <c r="E45"/>
      <c r="F45"/>
      <c r="G45"/>
      <c r="H45"/>
      <c r="I45"/>
      <c r="J45"/>
      <c r="K45"/>
      <c r="R45"/>
      <c r="S45"/>
      <c r="T45"/>
    </row>
    <row r="46" spans="1:20" x14ac:dyDescent="0.25">
      <c r="A46" s="4"/>
      <c r="B46" s="4"/>
      <c r="C46"/>
      <c r="D46"/>
      <c r="E46"/>
      <c r="F46"/>
      <c r="G46"/>
      <c r="H46"/>
      <c r="I46"/>
      <c r="J46"/>
      <c r="K46"/>
      <c r="R46"/>
      <c r="S46"/>
      <c r="T46"/>
    </row>
    <row r="47" spans="1:20" x14ac:dyDescent="0.25">
      <c r="A47" s="4"/>
      <c r="B47" s="4"/>
      <c r="C47"/>
      <c r="D47"/>
      <c r="E47"/>
      <c r="F47"/>
      <c r="G47"/>
      <c r="H47"/>
      <c r="I47"/>
      <c r="J47"/>
      <c r="K47"/>
      <c r="R47"/>
      <c r="S47"/>
      <c r="T47"/>
    </row>
    <row r="48" spans="1:20" x14ac:dyDescent="0.25">
      <c r="A48" s="4"/>
      <c r="B48" s="4"/>
      <c r="C48"/>
      <c r="D48"/>
      <c r="E48"/>
      <c r="F48"/>
      <c r="G48"/>
      <c r="H48"/>
      <c r="I48"/>
      <c r="J48"/>
      <c r="K48"/>
      <c r="R48"/>
      <c r="S48"/>
      <c r="T48"/>
    </row>
    <row r="49" spans="1:20" x14ac:dyDescent="0.25">
      <c r="A49" s="4"/>
      <c r="B49" s="4"/>
      <c r="C49"/>
      <c r="D49"/>
      <c r="E49"/>
      <c r="F49"/>
      <c r="G49"/>
      <c r="H49"/>
      <c r="I49"/>
      <c r="J49"/>
      <c r="K49"/>
      <c r="R49"/>
      <c r="S49"/>
      <c r="T49"/>
    </row>
    <row r="50" spans="1:20" x14ac:dyDescent="0.25">
      <c r="A50" s="4"/>
      <c r="B50" s="4"/>
      <c r="C50"/>
      <c r="D50"/>
      <c r="E50"/>
      <c r="F50"/>
      <c r="G50"/>
      <c r="H50"/>
      <c r="I50"/>
      <c r="J50"/>
      <c r="K50"/>
      <c r="R50"/>
      <c r="S50"/>
      <c r="T50"/>
    </row>
    <row r="51" spans="1:20" x14ac:dyDescent="0.25">
      <c r="A51" s="4"/>
      <c r="B51" s="4"/>
      <c r="C51"/>
      <c r="D51"/>
      <c r="E51"/>
      <c r="F51"/>
      <c r="G51"/>
      <c r="H51"/>
      <c r="I51"/>
      <c r="J51"/>
      <c r="K51"/>
      <c r="R51"/>
      <c r="S51"/>
      <c r="T51"/>
    </row>
    <row r="52" spans="1:20" x14ac:dyDescent="0.25">
      <c r="A52" s="4"/>
      <c r="B52" s="4"/>
      <c r="C52"/>
      <c r="D52"/>
      <c r="E52"/>
      <c r="F52"/>
      <c r="G52"/>
      <c r="H52"/>
      <c r="I52"/>
      <c r="J52"/>
      <c r="L52"/>
      <c r="M52"/>
      <c r="N52"/>
      <c r="O52"/>
      <c r="P52"/>
      <c r="Q52"/>
      <c r="R52"/>
      <c r="S52"/>
      <c r="T52"/>
    </row>
    <row r="53" spans="1:20" x14ac:dyDescent="0.25">
      <c r="A53" s="4"/>
      <c r="B53" s="4"/>
      <c r="C53"/>
      <c r="D53"/>
      <c r="E53"/>
      <c r="F53"/>
      <c r="G53"/>
      <c r="H53"/>
      <c r="I53"/>
      <c r="J53"/>
      <c r="L53"/>
      <c r="M53"/>
      <c r="N53"/>
      <c r="O53"/>
      <c r="P53"/>
      <c r="Q53"/>
      <c r="R53"/>
      <c r="S53"/>
      <c r="T53"/>
    </row>
    <row r="54" spans="1:20" x14ac:dyDescent="0.25">
      <c r="A54" s="4"/>
      <c r="B54" s="4"/>
      <c r="C54"/>
      <c r="D54"/>
      <c r="E54"/>
      <c r="F54"/>
      <c r="G54"/>
      <c r="H54"/>
      <c r="I54"/>
      <c r="J54"/>
      <c r="L54"/>
      <c r="M54"/>
      <c r="N54"/>
      <c r="O54"/>
      <c r="P54"/>
      <c r="Q54"/>
      <c r="R54"/>
      <c r="S54"/>
      <c r="T54"/>
    </row>
    <row r="55" spans="1:20" x14ac:dyDescent="0.25">
      <c r="A55" s="4"/>
      <c r="B55" s="4"/>
      <c r="C55"/>
      <c r="D55"/>
      <c r="E55"/>
      <c r="F55"/>
      <c r="G55"/>
      <c r="H55"/>
      <c r="I55"/>
      <c r="J55"/>
      <c r="L55"/>
      <c r="M55"/>
      <c r="N55"/>
      <c r="O55"/>
      <c r="P55"/>
      <c r="Q55"/>
      <c r="R55"/>
      <c r="S55"/>
      <c r="T55"/>
    </row>
    <row r="56" spans="1:20" x14ac:dyDescent="0.25">
      <c r="A56" s="4"/>
      <c r="B56" s="4"/>
      <c r="C56"/>
      <c r="D56"/>
      <c r="E56"/>
      <c r="F56"/>
      <c r="G56"/>
      <c r="H56"/>
      <c r="I56"/>
      <c r="J56"/>
      <c r="L56"/>
      <c r="M56"/>
      <c r="N56"/>
      <c r="O56"/>
      <c r="P56"/>
      <c r="Q56"/>
      <c r="R56"/>
      <c r="S56"/>
      <c r="T56"/>
    </row>
    <row r="57" spans="1:20" x14ac:dyDescent="0.25">
      <c r="A57" s="4"/>
      <c r="B57" s="4"/>
      <c r="C57"/>
      <c r="D57"/>
      <c r="E57"/>
      <c r="F57"/>
      <c r="G57"/>
      <c r="H57"/>
      <c r="I57"/>
      <c r="J57"/>
      <c r="L57"/>
      <c r="M57"/>
      <c r="N57"/>
      <c r="O57"/>
      <c r="P57"/>
      <c r="Q57"/>
      <c r="R57"/>
      <c r="S57"/>
      <c r="T57"/>
    </row>
    <row r="58" spans="1:20" x14ac:dyDescent="0.25">
      <c r="A58" s="4"/>
      <c r="B58" s="4"/>
      <c r="C58"/>
      <c r="D58"/>
      <c r="E58"/>
      <c r="F58"/>
      <c r="G58"/>
      <c r="H58"/>
      <c r="I58"/>
      <c r="J58"/>
      <c r="L58"/>
      <c r="M58"/>
      <c r="N58"/>
      <c r="O58"/>
      <c r="P58"/>
      <c r="Q58"/>
      <c r="R58"/>
      <c r="S58"/>
      <c r="T58"/>
    </row>
    <row r="59" spans="1:20" x14ac:dyDescent="0.25">
      <c r="A59" s="4"/>
      <c r="B59" s="4"/>
      <c r="C59"/>
      <c r="D59"/>
      <c r="E59"/>
      <c r="F59"/>
      <c r="G59"/>
      <c r="H59"/>
      <c r="I59"/>
      <c r="J59"/>
      <c r="L59"/>
      <c r="M59"/>
      <c r="N59"/>
      <c r="O59"/>
      <c r="P59"/>
      <c r="Q59"/>
      <c r="R59"/>
      <c r="S59"/>
      <c r="T59"/>
    </row>
    <row r="60" spans="1:20" x14ac:dyDescent="0.25">
      <c r="A60" s="4"/>
      <c r="B60" s="4"/>
      <c r="C60"/>
      <c r="D60"/>
      <c r="E60"/>
      <c r="F60"/>
      <c r="G60"/>
      <c r="H60"/>
      <c r="I60"/>
      <c r="J60"/>
      <c r="L60"/>
      <c r="M60"/>
      <c r="N60"/>
      <c r="O60"/>
      <c r="P60"/>
      <c r="Q60"/>
      <c r="R60"/>
      <c r="S60"/>
      <c r="T60"/>
    </row>
    <row r="61" spans="1:20" x14ac:dyDescent="0.25">
      <c r="A61" s="4"/>
      <c r="B61" s="4"/>
      <c r="C61"/>
      <c r="D61"/>
      <c r="E61"/>
      <c r="F61"/>
      <c r="G61"/>
      <c r="H61"/>
      <c r="I61"/>
      <c r="J61"/>
      <c r="L61"/>
      <c r="M61"/>
      <c r="N61"/>
      <c r="O61"/>
      <c r="P61"/>
      <c r="Q61"/>
      <c r="R61"/>
      <c r="S61"/>
      <c r="T61"/>
    </row>
    <row r="62" spans="1:20" x14ac:dyDescent="0.25">
      <c r="A62" s="4"/>
      <c r="B62" s="4"/>
      <c r="C62"/>
      <c r="D62"/>
      <c r="E62"/>
      <c r="F62"/>
      <c r="G62"/>
      <c r="H62"/>
      <c r="I62"/>
      <c r="J62"/>
      <c r="K62"/>
      <c r="R62"/>
      <c r="S62"/>
      <c r="T62"/>
    </row>
    <row r="63" spans="1:20" x14ac:dyDescent="0.25">
      <c r="A63" s="4"/>
      <c r="B63" s="4"/>
      <c r="C63"/>
      <c r="D63"/>
      <c r="E63"/>
      <c r="F63"/>
      <c r="G63"/>
      <c r="H63"/>
      <c r="I63"/>
      <c r="J63"/>
      <c r="K63"/>
      <c r="R63"/>
      <c r="S63"/>
      <c r="T63"/>
    </row>
    <row r="64" spans="1:20" x14ac:dyDescent="0.25">
      <c r="A64" s="4"/>
      <c r="B64" s="4"/>
      <c r="C64"/>
      <c r="D64"/>
      <c r="E64"/>
      <c r="F64"/>
      <c r="G64"/>
      <c r="H64"/>
      <c r="I64"/>
      <c r="J64"/>
      <c r="K64"/>
      <c r="R64"/>
      <c r="S64"/>
      <c r="T64"/>
    </row>
    <row r="65" spans="1:20" x14ac:dyDescent="0.25">
      <c r="A65" s="4"/>
      <c r="B65" s="4"/>
      <c r="C65"/>
      <c r="D65"/>
      <c r="E65"/>
      <c r="F65"/>
      <c r="G65"/>
      <c r="H65"/>
      <c r="I65"/>
      <c r="J65"/>
      <c r="K65"/>
      <c r="R65"/>
      <c r="S65"/>
      <c r="T65"/>
    </row>
    <row r="66" spans="1:20" x14ac:dyDescent="0.25">
      <c r="A66" s="4"/>
      <c r="B66" s="4"/>
      <c r="C66"/>
      <c r="D66"/>
      <c r="E66"/>
      <c r="F66"/>
      <c r="G66"/>
      <c r="H66"/>
      <c r="I66"/>
      <c r="J66"/>
      <c r="K66"/>
      <c r="R66"/>
      <c r="S66"/>
      <c r="T66"/>
    </row>
    <row r="67" spans="1:20" x14ac:dyDescent="0.25">
      <c r="A67" s="4"/>
      <c r="B67" s="4"/>
      <c r="C67"/>
      <c r="D67"/>
      <c r="E67"/>
      <c r="F67"/>
      <c r="G67"/>
      <c r="H67"/>
      <c r="I67"/>
      <c r="J67"/>
      <c r="K67"/>
      <c r="R67"/>
      <c r="S67"/>
      <c r="T67"/>
    </row>
    <row r="68" spans="1:20" x14ac:dyDescent="0.25">
      <c r="A68" s="4"/>
      <c r="B68" s="4"/>
      <c r="C68"/>
      <c r="D68"/>
      <c r="E68"/>
      <c r="F68"/>
      <c r="G68"/>
      <c r="H68"/>
      <c r="I68"/>
      <c r="J68"/>
      <c r="K68"/>
      <c r="R68"/>
      <c r="S68"/>
      <c r="T68"/>
    </row>
    <row r="69" spans="1:20" x14ac:dyDescent="0.25">
      <c r="A69" s="4"/>
      <c r="B69" s="4"/>
      <c r="C69"/>
      <c r="D69"/>
      <c r="E69"/>
      <c r="F69"/>
      <c r="G69"/>
      <c r="H69"/>
      <c r="I69"/>
      <c r="J69"/>
      <c r="K69"/>
      <c r="R69"/>
      <c r="S69"/>
      <c r="T69"/>
    </row>
    <row r="70" spans="1:20" x14ac:dyDescent="0.25">
      <c r="A70" s="4"/>
      <c r="B70" s="4"/>
      <c r="C70"/>
      <c r="D70"/>
      <c r="E70"/>
      <c r="F70"/>
      <c r="G70"/>
      <c r="H70"/>
      <c r="I70"/>
      <c r="J70"/>
      <c r="K70"/>
      <c r="R70"/>
      <c r="S70"/>
      <c r="T70"/>
    </row>
    <row r="71" spans="1:20" x14ac:dyDescent="0.25">
      <c r="A71" s="4"/>
      <c r="B71" s="4"/>
      <c r="C71"/>
      <c r="D71"/>
      <c r="E71"/>
      <c r="F71"/>
      <c r="G71"/>
      <c r="H71"/>
      <c r="I71"/>
      <c r="J71"/>
      <c r="K71"/>
      <c r="R71"/>
      <c r="S71"/>
      <c r="T71"/>
    </row>
    <row r="72" spans="1:20" x14ac:dyDescent="0.25">
      <c r="A72" s="4"/>
      <c r="B72" s="4"/>
      <c r="C72"/>
      <c r="D72"/>
      <c r="E72"/>
      <c r="F72"/>
      <c r="G72"/>
      <c r="H72"/>
      <c r="I72"/>
      <c r="J72"/>
      <c r="L72"/>
      <c r="M72"/>
      <c r="N72"/>
      <c r="O72"/>
      <c r="P72"/>
      <c r="Q72"/>
      <c r="R72"/>
      <c r="S72"/>
      <c r="T72"/>
    </row>
    <row r="73" spans="1:20" x14ac:dyDescent="0.25">
      <c r="A73" s="4"/>
      <c r="B73" s="4"/>
      <c r="C73"/>
      <c r="D73"/>
      <c r="E73"/>
      <c r="F73"/>
      <c r="G73"/>
      <c r="H73"/>
      <c r="I73"/>
      <c r="J73"/>
      <c r="L73"/>
      <c r="M73"/>
      <c r="N73"/>
      <c r="O73"/>
      <c r="P73"/>
      <c r="Q73"/>
      <c r="R73"/>
      <c r="S73"/>
      <c r="T73"/>
    </row>
    <row r="74" spans="1:20" x14ac:dyDescent="0.25">
      <c r="A74" s="4"/>
      <c r="B74" s="4"/>
      <c r="C74"/>
      <c r="D74"/>
      <c r="E74"/>
      <c r="F74"/>
      <c r="G74"/>
      <c r="H74"/>
      <c r="I74"/>
      <c r="J74"/>
      <c r="L74"/>
      <c r="M74"/>
      <c r="N74"/>
      <c r="O74"/>
      <c r="P74"/>
      <c r="Q74"/>
      <c r="R74"/>
      <c r="S74"/>
      <c r="T74"/>
    </row>
    <row r="75" spans="1:20" x14ac:dyDescent="0.25">
      <c r="A75" s="4"/>
      <c r="B75" s="4"/>
      <c r="C75"/>
      <c r="D75"/>
      <c r="E75"/>
      <c r="F75"/>
      <c r="G75"/>
      <c r="H75"/>
      <c r="I75"/>
      <c r="J75"/>
      <c r="L75"/>
      <c r="M75"/>
      <c r="N75"/>
      <c r="O75"/>
      <c r="P75"/>
      <c r="Q75"/>
      <c r="R75"/>
      <c r="S75"/>
      <c r="T75"/>
    </row>
    <row r="76" spans="1:20" x14ac:dyDescent="0.25">
      <c r="A76" s="4"/>
      <c r="B76" s="4"/>
      <c r="C76"/>
      <c r="D76"/>
      <c r="E76"/>
      <c r="F76"/>
      <c r="G76"/>
      <c r="H76"/>
      <c r="I76"/>
      <c r="J76"/>
      <c r="L76"/>
      <c r="M76"/>
      <c r="N76"/>
      <c r="O76"/>
      <c r="P76"/>
      <c r="Q76"/>
      <c r="R76"/>
      <c r="S76"/>
      <c r="T76"/>
    </row>
    <row r="77" spans="1:20" x14ac:dyDescent="0.25">
      <c r="A77" s="4"/>
      <c r="B77" s="4"/>
      <c r="C77"/>
      <c r="D77"/>
      <c r="E77"/>
      <c r="F77"/>
      <c r="G77"/>
      <c r="H77"/>
      <c r="I77"/>
      <c r="J77"/>
      <c r="L77"/>
      <c r="M77"/>
      <c r="N77"/>
      <c r="O77"/>
      <c r="P77"/>
      <c r="Q77"/>
      <c r="R77"/>
      <c r="S77"/>
      <c r="T77"/>
    </row>
    <row r="78" spans="1:20" x14ac:dyDescent="0.25">
      <c r="A78" s="4"/>
      <c r="B78" s="4"/>
      <c r="C78"/>
      <c r="D78"/>
      <c r="E78"/>
      <c r="F78"/>
      <c r="G78"/>
      <c r="H78"/>
      <c r="I78"/>
      <c r="J78"/>
      <c r="L78"/>
      <c r="M78"/>
      <c r="N78"/>
      <c r="O78"/>
      <c r="P78"/>
      <c r="Q78"/>
      <c r="R78"/>
      <c r="S78"/>
      <c r="T78"/>
    </row>
    <row r="79" spans="1:20" x14ac:dyDescent="0.25">
      <c r="A79" s="4"/>
      <c r="B79" s="4"/>
      <c r="C79"/>
      <c r="D79"/>
      <c r="E79"/>
      <c r="F79"/>
      <c r="G79"/>
      <c r="H79"/>
      <c r="I79"/>
      <c r="J79"/>
      <c r="L79"/>
      <c r="M79"/>
      <c r="N79"/>
      <c r="O79"/>
      <c r="P79"/>
      <c r="Q79"/>
      <c r="R79"/>
      <c r="S79"/>
      <c r="T79"/>
    </row>
    <row r="80" spans="1:20" x14ac:dyDescent="0.25">
      <c r="A80" s="4"/>
      <c r="B80" s="4"/>
      <c r="C80"/>
      <c r="D80"/>
      <c r="E80"/>
      <c r="F80"/>
      <c r="G80"/>
      <c r="H80"/>
      <c r="I80"/>
      <c r="J80"/>
      <c r="L80"/>
      <c r="M80"/>
      <c r="N80"/>
      <c r="O80"/>
      <c r="P80"/>
      <c r="Q80"/>
      <c r="R80"/>
      <c r="S80"/>
      <c r="T80"/>
    </row>
    <row r="81" spans="1:20" x14ac:dyDescent="0.25">
      <c r="A81" s="4"/>
      <c r="B81" s="4"/>
      <c r="C81"/>
      <c r="D81"/>
      <c r="E81"/>
      <c r="F81"/>
      <c r="G81"/>
      <c r="H81"/>
      <c r="I81"/>
      <c r="J81"/>
      <c r="L81"/>
      <c r="M81"/>
      <c r="N81"/>
      <c r="O81"/>
      <c r="P81"/>
      <c r="Q81"/>
      <c r="R81"/>
      <c r="S81"/>
      <c r="T81"/>
    </row>
    <row r="82" spans="1:20" x14ac:dyDescent="0.25">
      <c r="A82" s="4"/>
      <c r="B82" s="4"/>
      <c r="C82"/>
      <c r="D82"/>
      <c r="E82"/>
      <c r="F82"/>
      <c r="G82"/>
      <c r="H82"/>
      <c r="I82"/>
      <c r="J82"/>
      <c r="K82"/>
      <c r="R82"/>
      <c r="S82"/>
      <c r="T82"/>
    </row>
    <row r="83" spans="1:20" x14ac:dyDescent="0.25">
      <c r="A83" s="4"/>
      <c r="B83" s="4"/>
      <c r="C83"/>
      <c r="D83"/>
      <c r="E83"/>
      <c r="F83"/>
      <c r="G83"/>
      <c r="H83"/>
      <c r="I83"/>
      <c r="J83"/>
      <c r="K83"/>
      <c r="R83"/>
      <c r="S83"/>
      <c r="T83"/>
    </row>
    <row r="84" spans="1:20" x14ac:dyDescent="0.25">
      <c r="A84" s="4"/>
      <c r="B84" s="4"/>
      <c r="C84"/>
      <c r="D84"/>
      <c r="E84"/>
      <c r="F84"/>
      <c r="G84"/>
      <c r="H84"/>
      <c r="I84"/>
      <c r="J84"/>
      <c r="K84"/>
      <c r="R84"/>
      <c r="S84"/>
      <c r="T84"/>
    </row>
    <row r="85" spans="1:20" x14ac:dyDescent="0.25">
      <c r="A85" s="4"/>
      <c r="B85" s="4"/>
      <c r="C85"/>
      <c r="D85"/>
      <c r="E85"/>
      <c r="F85"/>
      <c r="G85"/>
      <c r="H85"/>
      <c r="I85"/>
      <c r="J85"/>
      <c r="K85"/>
      <c r="R85"/>
      <c r="S85"/>
      <c r="T85"/>
    </row>
    <row r="86" spans="1:20" x14ac:dyDescent="0.25">
      <c r="A86" s="4"/>
      <c r="B86" s="4"/>
      <c r="C86"/>
      <c r="D86"/>
      <c r="E86"/>
      <c r="F86"/>
      <c r="G86"/>
      <c r="H86"/>
      <c r="I86"/>
      <c r="J86"/>
      <c r="K86"/>
      <c r="R86"/>
      <c r="S86"/>
      <c r="T86"/>
    </row>
    <row r="87" spans="1:20" x14ac:dyDescent="0.25">
      <c r="A87" s="4"/>
      <c r="B87" s="4"/>
      <c r="C87"/>
      <c r="D87"/>
      <c r="E87"/>
      <c r="F87"/>
      <c r="G87"/>
      <c r="H87"/>
      <c r="I87"/>
      <c r="J87"/>
      <c r="K87"/>
      <c r="R87"/>
      <c r="S87"/>
      <c r="T87"/>
    </row>
    <row r="88" spans="1:20" x14ac:dyDescent="0.25">
      <c r="A88" s="4"/>
      <c r="B88" s="4"/>
      <c r="C88"/>
      <c r="D88"/>
      <c r="E88"/>
      <c r="F88"/>
      <c r="G88"/>
      <c r="H88"/>
      <c r="I88"/>
      <c r="J88"/>
      <c r="K88"/>
      <c r="R88"/>
      <c r="S88"/>
      <c r="T88"/>
    </row>
    <row r="89" spans="1:20" x14ac:dyDescent="0.25">
      <c r="A89" s="4"/>
      <c r="B89" s="4"/>
      <c r="C89"/>
      <c r="D89"/>
      <c r="E89"/>
      <c r="F89"/>
      <c r="G89"/>
      <c r="H89"/>
      <c r="I89"/>
      <c r="J89"/>
      <c r="K89"/>
      <c r="R89"/>
      <c r="S89"/>
      <c r="T89"/>
    </row>
    <row r="90" spans="1:20" x14ac:dyDescent="0.25">
      <c r="A90" s="4"/>
      <c r="B90" s="4"/>
      <c r="C90"/>
      <c r="D90"/>
      <c r="E90"/>
      <c r="F90"/>
      <c r="G90"/>
      <c r="H90"/>
      <c r="I90"/>
      <c r="J90"/>
      <c r="K90"/>
      <c r="R90"/>
      <c r="S90"/>
      <c r="T90"/>
    </row>
    <row r="91" spans="1:20" x14ac:dyDescent="0.25">
      <c r="A91" s="4"/>
      <c r="B91" s="4"/>
      <c r="C91"/>
      <c r="D91"/>
      <c r="E91"/>
      <c r="F91"/>
      <c r="G91"/>
      <c r="H91"/>
      <c r="I91"/>
      <c r="J91"/>
      <c r="K91"/>
      <c r="R91"/>
      <c r="S91"/>
      <c r="T91"/>
    </row>
    <row r="92" spans="1:20" x14ac:dyDescent="0.25">
      <c r="A92" s="4"/>
      <c r="B92" s="4"/>
      <c r="C92"/>
      <c r="D92"/>
      <c r="E92"/>
      <c r="F92"/>
      <c r="G92"/>
      <c r="H92"/>
      <c r="I92"/>
      <c r="J92"/>
      <c r="L92"/>
      <c r="M92"/>
      <c r="N92"/>
      <c r="O92"/>
      <c r="P92"/>
      <c r="Q92"/>
      <c r="R92"/>
      <c r="S92"/>
      <c r="T92"/>
    </row>
    <row r="93" spans="1:20" x14ac:dyDescent="0.25">
      <c r="A93" s="4"/>
      <c r="B93" s="4"/>
      <c r="C93"/>
      <c r="D93"/>
      <c r="E93"/>
      <c r="F93"/>
      <c r="G93"/>
      <c r="H93"/>
      <c r="I93"/>
      <c r="J93"/>
      <c r="L93"/>
      <c r="M93"/>
      <c r="N93"/>
      <c r="O93"/>
      <c r="P93"/>
      <c r="Q93"/>
      <c r="R93"/>
      <c r="S93"/>
      <c r="T93"/>
    </row>
    <row r="94" spans="1:20" x14ac:dyDescent="0.25">
      <c r="A94" s="4"/>
      <c r="B94" s="4"/>
      <c r="C94"/>
      <c r="D94"/>
      <c r="E94"/>
      <c r="F94"/>
      <c r="G94"/>
      <c r="H94"/>
      <c r="I94"/>
      <c r="J94"/>
      <c r="L94"/>
      <c r="M94"/>
      <c r="N94"/>
      <c r="O94"/>
      <c r="P94"/>
      <c r="Q94"/>
      <c r="R94"/>
      <c r="S94"/>
      <c r="T94"/>
    </row>
    <row r="95" spans="1:20" x14ac:dyDescent="0.25">
      <c r="A95" s="4"/>
      <c r="B95" s="4"/>
      <c r="C95"/>
      <c r="D95"/>
      <c r="E95"/>
      <c r="F95"/>
      <c r="G95"/>
      <c r="H95"/>
      <c r="I95"/>
      <c r="J95"/>
      <c r="L95"/>
      <c r="M95"/>
      <c r="N95"/>
      <c r="O95"/>
      <c r="P95"/>
      <c r="Q95"/>
      <c r="R95"/>
      <c r="S95"/>
      <c r="T95"/>
    </row>
    <row r="96" spans="1:20" x14ac:dyDescent="0.25">
      <c r="A96" s="4"/>
      <c r="B96" s="4"/>
      <c r="C96"/>
      <c r="D96"/>
      <c r="E96"/>
      <c r="F96"/>
      <c r="G96"/>
      <c r="H96"/>
      <c r="I96"/>
      <c r="J96"/>
      <c r="L96"/>
      <c r="M96"/>
      <c r="N96"/>
      <c r="O96"/>
      <c r="P96"/>
      <c r="Q96"/>
      <c r="R96"/>
      <c r="S96"/>
      <c r="T96"/>
    </row>
    <row r="97" spans="1:20" x14ac:dyDescent="0.25">
      <c r="A97" s="4"/>
      <c r="B97" s="4"/>
      <c r="C97"/>
      <c r="D97"/>
      <c r="E97"/>
      <c r="F97"/>
      <c r="G97"/>
      <c r="H97"/>
      <c r="I97"/>
      <c r="J97"/>
      <c r="L97"/>
      <c r="M97"/>
      <c r="N97"/>
      <c r="O97"/>
      <c r="P97"/>
      <c r="Q97"/>
      <c r="R97"/>
      <c r="S97"/>
      <c r="T97"/>
    </row>
    <row r="98" spans="1:20" x14ac:dyDescent="0.25">
      <c r="A98" s="4"/>
      <c r="B98" s="4"/>
      <c r="C98"/>
      <c r="D98"/>
      <c r="E98"/>
      <c r="F98"/>
      <c r="G98"/>
      <c r="H98"/>
      <c r="I98"/>
      <c r="J98"/>
      <c r="L98"/>
      <c r="M98"/>
      <c r="N98"/>
      <c r="O98"/>
      <c r="P98"/>
      <c r="Q98"/>
      <c r="R98"/>
      <c r="S98"/>
      <c r="T98"/>
    </row>
    <row r="99" spans="1:20" x14ac:dyDescent="0.25">
      <c r="A99" s="4"/>
      <c r="B99" s="4"/>
      <c r="C99"/>
      <c r="D99"/>
      <c r="E99"/>
      <c r="F99"/>
      <c r="G99"/>
      <c r="H99"/>
      <c r="I99"/>
      <c r="J99"/>
      <c r="L99"/>
      <c r="M99"/>
      <c r="N99"/>
      <c r="O99"/>
      <c r="P99"/>
      <c r="Q99"/>
      <c r="R99"/>
      <c r="S99"/>
      <c r="T99"/>
    </row>
    <row r="100" spans="1:20" x14ac:dyDescent="0.25">
      <c r="A100" s="4"/>
      <c r="B100" s="4"/>
      <c r="C100"/>
      <c r="D100"/>
      <c r="E100"/>
      <c r="F100"/>
      <c r="G100"/>
      <c r="H100"/>
      <c r="I100"/>
      <c r="J100"/>
      <c r="L100"/>
      <c r="M100"/>
      <c r="N100"/>
      <c r="O100"/>
      <c r="P100"/>
      <c r="Q100"/>
      <c r="R100"/>
      <c r="S100"/>
      <c r="T100"/>
    </row>
    <row r="101" spans="1:20" x14ac:dyDescent="0.25">
      <c r="A101" s="4"/>
      <c r="B101" s="4"/>
      <c r="C101"/>
      <c r="D101"/>
      <c r="E101"/>
      <c r="F101"/>
      <c r="G101"/>
      <c r="H101"/>
      <c r="I101"/>
      <c r="J101"/>
      <c r="L101"/>
      <c r="M101"/>
      <c r="N101"/>
      <c r="O101"/>
      <c r="P101"/>
      <c r="Q101"/>
      <c r="R101"/>
      <c r="S101"/>
      <c r="T101"/>
    </row>
    <row r="102" spans="1:20" x14ac:dyDescent="0.25">
      <c r="A102" s="4"/>
      <c r="B102" s="4"/>
      <c r="C102"/>
      <c r="D102"/>
      <c r="E102"/>
      <c r="F102"/>
      <c r="G102"/>
      <c r="H102"/>
      <c r="I102"/>
      <c r="J102"/>
      <c r="K102"/>
      <c r="R102"/>
      <c r="S102"/>
      <c r="T102"/>
    </row>
    <row r="103" spans="1:20" x14ac:dyDescent="0.25">
      <c r="A103" s="4"/>
      <c r="B103" s="4"/>
      <c r="C103"/>
      <c r="D103"/>
      <c r="E103"/>
      <c r="F103"/>
      <c r="G103"/>
      <c r="H103"/>
      <c r="I103"/>
      <c r="J103"/>
      <c r="K103"/>
      <c r="R103"/>
      <c r="S103"/>
      <c r="T103"/>
    </row>
    <row r="104" spans="1:20" x14ac:dyDescent="0.25">
      <c r="A104" s="4"/>
      <c r="B104" s="4"/>
      <c r="C104"/>
      <c r="D104"/>
      <c r="E104"/>
      <c r="F104"/>
      <c r="G104"/>
      <c r="H104"/>
      <c r="I104"/>
      <c r="J104"/>
      <c r="K104"/>
      <c r="R104"/>
      <c r="S104"/>
      <c r="T104"/>
    </row>
    <row r="105" spans="1:20" x14ac:dyDescent="0.25">
      <c r="A105" s="4"/>
      <c r="B105" s="4"/>
      <c r="C105"/>
      <c r="D105"/>
      <c r="E105"/>
      <c r="F105"/>
      <c r="G105"/>
      <c r="H105"/>
      <c r="I105"/>
      <c r="J105"/>
      <c r="K105"/>
      <c r="R105"/>
      <c r="S105"/>
      <c r="T105"/>
    </row>
    <row r="106" spans="1:20" x14ac:dyDescent="0.25">
      <c r="A106" s="4"/>
      <c r="B106" s="4"/>
      <c r="C106"/>
      <c r="D106"/>
      <c r="E106"/>
      <c r="F106"/>
      <c r="G106"/>
      <c r="H106"/>
      <c r="I106"/>
      <c r="J106"/>
      <c r="K106"/>
      <c r="R106"/>
      <c r="S106"/>
      <c r="T106"/>
    </row>
    <row r="107" spans="1:20" x14ac:dyDescent="0.25">
      <c r="A107" s="4"/>
      <c r="B107" s="4"/>
      <c r="C107"/>
      <c r="D107"/>
      <c r="E107"/>
      <c r="F107"/>
      <c r="G107"/>
      <c r="H107"/>
      <c r="I107"/>
      <c r="J107"/>
      <c r="K107"/>
      <c r="R107"/>
      <c r="S107"/>
      <c r="T107"/>
    </row>
    <row r="108" spans="1:20" x14ac:dyDescent="0.25">
      <c r="A108" s="4"/>
      <c r="B108" s="4"/>
      <c r="C108"/>
      <c r="D108"/>
      <c r="E108"/>
      <c r="F108"/>
      <c r="G108"/>
      <c r="H108"/>
      <c r="I108"/>
      <c r="J108"/>
      <c r="K108"/>
      <c r="R108"/>
      <c r="S108"/>
      <c r="T108"/>
    </row>
    <row r="109" spans="1:20" x14ac:dyDescent="0.25">
      <c r="A109" s="4"/>
      <c r="B109" s="4"/>
      <c r="C109"/>
      <c r="D109"/>
      <c r="E109"/>
      <c r="F109"/>
      <c r="G109"/>
      <c r="H109"/>
      <c r="I109"/>
      <c r="J109"/>
      <c r="K109"/>
      <c r="R109"/>
      <c r="S109"/>
      <c r="T109"/>
    </row>
    <row r="110" spans="1:20" x14ac:dyDescent="0.25">
      <c r="A110" s="4"/>
      <c r="B110" s="4"/>
      <c r="C110"/>
      <c r="D110"/>
      <c r="E110"/>
      <c r="F110"/>
      <c r="G110"/>
      <c r="H110"/>
      <c r="I110"/>
      <c r="J110"/>
      <c r="K110"/>
      <c r="R110"/>
      <c r="S110"/>
      <c r="T110"/>
    </row>
    <row r="111" spans="1:20" x14ac:dyDescent="0.25">
      <c r="A111" s="4"/>
      <c r="B111" s="4"/>
      <c r="C111"/>
      <c r="D111"/>
      <c r="E111"/>
      <c r="F111"/>
      <c r="G111"/>
      <c r="H111"/>
      <c r="I111"/>
      <c r="J111"/>
      <c r="K111"/>
      <c r="R111"/>
      <c r="S111"/>
      <c r="T111"/>
    </row>
    <row r="112" spans="1:20" x14ac:dyDescent="0.25">
      <c r="A112" s="4"/>
      <c r="B112" s="4"/>
      <c r="C112"/>
      <c r="D112"/>
      <c r="E112"/>
      <c r="F112"/>
      <c r="G112"/>
      <c r="H112"/>
      <c r="I112"/>
      <c r="J112"/>
      <c r="L112"/>
      <c r="M112"/>
      <c r="N112"/>
      <c r="O112"/>
      <c r="P112"/>
      <c r="Q112"/>
      <c r="R112"/>
      <c r="S112"/>
      <c r="T112"/>
    </row>
    <row r="113" spans="1:20" x14ac:dyDescent="0.25">
      <c r="A113" s="4"/>
      <c r="B113" s="4"/>
      <c r="C113"/>
      <c r="D113"/>
      <c r="E113"/>
      <c r="F113"/>
      <c r="G113"/>
      <c r="H113"/>
      <c r="I113"/>
      <c r="J113"/>
      <c r="L113"/>
      <c r="M113"/>
      <c r="N113"/>
      <c r="O113"/>
      <c r="P113"/>
      <c r="Q113"/>
      <c r="R113"/>
      <c r="S113"/>
      <c r="T113"/>
    </row>
    <row r="114" spans="1:20" x14ac:dyDescent="0.25">
      <c r="A114" s="4"/>
      <c r="B114" s="4"/>
      <c r="C114"/>
      <c r="D114"/>
      <c r="E114"/>
      <c r="F114"/>
      <c r="G114"/>
      <c r="H114"/>
      <c r="I114"/>
      <c r="J114"/>
      <c r="L114"/>
      <c r="M114"/>
      <c r="N114"/>
      <c r="O114"/>
      <c r="P114"/>
      <c r="Q114"/>
      <c r="R114"/>
      <c r="S114"/>
      <c r="T114"/>
    </row>
    <row r="115" spans="1:20" x14ac:dyDescent="0.25">
      <c r="A115" s="4"/>
      <c r="B115" s="4"/>
      <c r="C115"/>
      <c r="D115"/>
      <c r="E115"/>
      <c r="F115"/>
      <c r="G115"/>
      <c r="H115"/>
      <c r="I115"/>
      <c r="J115"/>
      <c r="L115"/>
      <c r="M115"/>
      <c r="N115"/>
      <c r="O115"/>
      <c r="P115"/>
      <c r="Q115"/>
      <c r="R115"/>
      <c r="S115"/>
      <c r="T115"/>
    </row>
    <row r="116" spans="1:20" x14ac:dyDescent="0.25">
      <c r="A116" s="4"/>
      <c r="B116" s="4"/>
      <c r="C116"/>
      <c r="D116"/>
      <c r="E116"/>
      <c r="F116"/>
      <c r="G116"/>
      <c r="H116"/>
      <c r="I116"/>
      <c r="J116"/>
      <c r="L116"/>
      <c r="M116"/>
      <c r="N116"/>
      <c r="O116"/>
      <c r="P116"/>
      <c r="Q116"/>
      <c r="R116"/>
      <c r="S116"/>
      <c r="T116"/>
    </row>
    <row r="117" spans="1:20" x14ac:dyDescent="0.25">
      <c r="A117" s="4"/>
      <c r="B117" s="4"/>
      <c r="C117"/>
      <c r="D117"/>
      <c r="E117"/>
      <c r="F117"/>
      <c r="G117"/>
      <c r="H117"/>
      <c r="I117"/>
      <c r="J117"/>
      <c r="L117"/>
      <c r="M117"/>
      <c r="N117"/>
      <c r="O117"/>
      <c r="P117"/>
      <c r="Q117"/>
      <c r="R117"/>
      <c r="S117"/>
      <c r="T117"/>
    </row>
    <row r="118" spans="1:20" x14ac:dyDescent="0.25">
      <c r="A118" s="4"/>
      <c r="B118" s="4"/>
      <c r="C118"/>
      <c r="D118"/>
      <c r="E118"/>
      <c r="F118"/>
      <c r="G118"/>
      <c r="H118"/>
      <c r="I118"/>
      <c r="J118"/>
      <c r="L118"/>
      <c r="M118"/>
      <c r="N118"/>
      <c r="O118"/>
      <c r="P118"/>
      <c r="Q118"/>
      <c r="R118"/>
      <c r="S118"/>
      <c r="T118"/>
    </row>
    <row r="119" spans="1:20" x14ac:dyDescent="0.25">
      <c r="A119" s="4"/>
      <c r="B119" s="4"/>
      <c r="C119"/>
      <c r="D119"/>
      <c r="E119"/>
      <c r="F119"/>
      <c r="G119"/>
      <c r="H119"/>
      <c r="I119"/>
      <c r="J119"/>
      <c r="L119"/>
      <c r="M119"/>
      <c r="N119"/>
      <c r="O119"/>
      <c r="P119"/>
      <c r="Q119"/>
      <c r="R119"/>
      <c r="S119"/>
      <c r="T119"/>
    </row>
    <row r="120" spans="1:20" x14ac:dyDescent="0.25">
      <c r="A120" s="4"/>
      <c r="B120" s="4"/>
      <c r="C120"/>
      <c r="D120"/>
      <c r="E120"/>
      <c r="F120"/>
      <c r="G120"/>
      <c r="H120"/>
      <c r="I120"/>
      <c r="J120"/>
      <c r="L120"/>
      <c r="M120"/>
      <c r="N120"/>
      <c r="O120"/>
      <c r="P120"/>
      <c r="Q120"/>
      <c r="R120"/>
      <c r="S120"/>
      <c r="T120"/>
    </row>
    <row r="121" spans="1:20" x14ac:dyDescent="0.25">
      <c r="A121" s="4"/>
      <c r="B121" s="4"/>
      <c r="C121"/>
      <c r="D121"/>
      <c r="E121"/>
      <c r="F121"/>
      <c r="G121"/>
      <c r="H121"/>
      <c r="I121"/>
      <c r="J121"/>
      <c r="L121"/>
      <c r="M121"/>
      <c r="N121"/>
      <c r="O121"/>
      <c r="P121"/>
      <c r="Q121"/>
      <c r="R121"/>
      <c r="S121"/>
      <c r="T12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3603-31DD-4839-A5EA-76F11F0AB097}">
  <dimension ref="A1:U13"/>
  <sheetViews>
    <sheetView zoomScale="140" zoomScaleNormal="140" workbookViewId="0">
      <selection activeCell="A2" sqref="A2"/>
    </sheetView>
  </sheetViews>
  <sheetFormatPr defaultRowHeight="15" x14ac:dyDescent="0.25"/>
  <cols>
    <col min="1" max="1" width="24.140625" bestFit="1" customWidth="1"/>
    <col min="2" max="2" width="18.85546875" customWidth="1"/>
    <col min="4" max="4" width="19.140625" bestFit="1" customWidth="1"/>
    <col min="5" max="5" width="20.85546875" bestFit="1" customWidth="1"/>
    <col min="6" max="6" width="9.42578125" bestFit="1" customWidth="1"/>
    <col min="7" max="7" width="18.140625" bestFit="1" customWidth="1"/>
    <col min="8" max="8" width="28.140625" bestFit="1" customWidth="1"/>
    <col min="9" max="9" width="14.7109375" bestFit="1" customWidth="1"/>
    <col min="10" max="10" width="12.85546875" bestFit="1" customWidth="1"/>
    <col min="11" max="11" width="13.28515625" bestFit="1" customWidth="1"/>
    <col min="12" max="12" width="11" bestFit="1" customWidth="1"/>
    <col min="13" max="13" width="13.28515625" bestFit="1" customWidth="1"/>
    <col min="14" max="14" width="7.7109375" bestFit="1" customWidth="1"/>
    <col min="15" max="15" width="6.85546875" bestFit="1" customWidth="1"/>
    <col min="16" max="16" width="7.7109375" bestFit="1" customWidth="1"/>
    <col min="17" max="17" width="7.42578125" bestFit="1" customWidth="1"/>
    <col min="18" max="19" width="10" bestFit="1" customWidth="1"/>
    <col min="20" max="20" width="13.7109375" bestFit="1" customWidth="1"/>
  </cols>
  <sheetData>
    <row r="1" spans="1:21" x14ac:dyDescent="0.25">
      <c r="A1" t="str">
        <f>ipopt_output!A1</f>
        <v>run</v>
      </c>
      <c r="B1" t="str">
        <f>ipopt_output!B1</f>
        <v>status</v>
      </c>
      <c r="C1" t="str">
        <f>ipopt_output!C1</f>
        <v>variables</v>
      </c>
      <c r="D1" t="str">
        <f>ipopt_output!D1</f>
        <v>equality_constraints</v>
      </c>
      <c r="E1" t="str">
        <f>ipopt_output!E1</f>
        <v>inequality_constraints</v>
      </c>
      <c r="F1" t="str">
        <f>ipopt_output!F1</f>
        <v>iterations</v>
      </c>
      <c r="G1" t="str">
        <f>ipopt_output!G1</f>
        <v>objective_unscaled</v>
      </c>
      <c r="H1" t="str">
        <f>ipopt_output!H1</f>
        <v>constraint_violation_unscaled</v>
      </c>
      <c r="I1" t="str">
        <f>ipopt_output!I1</f>
        <v>ipopt_cpu_secs</v>
      </c>
      <c r="J1" t="str">
        <f>ipopt_output!J1</f>
        <v>nlp_cpu_secs</v>
      </c>
      <c r="K1" t="str">
        <f>ipopt_output!K1</f>
        <v>python_wall</v>
      </c>
      <c r="L1" t="str">
        <f>ipopt_output!L1</f>
        <v>ampl_wall</v>
      </c>
      <c r="M1" t="str">
        <f>ipopt_output!M1</f>
        <v>solve_wall</v>
      </c>
      <c r="N1" t="str">
        <f>ipopt_output!N1</f>
        <v>nvars</v>
      </c>
      <c r="O1" t="str">
        <f>ipopt_output!O1</f>
        <v>snvars</v>
      </c>
      <c r="P1" t="str">
        <f>ipopt_output!P1</f>
        <v>ncons</v>
      </c>
      <c r="Q1" t="str">
        <f>ipopt_output!Q1</f>
        <v>sncons</v>
      </c>
      <c r="R1" t="str">
        <f>ipopt_output!R1</f>
        <v>total_wall</v>
      </c>
      <c r="S1" t="str">
        <f>ipopt_output!S1</f>
        <v>run_date</v>
      </c>
      <c r="T1" t="str">
        <f>ipopt_output!T1</f>
        <v>run_start_time</v>
      </c>
      <c r="U1" t="s">
        <v>0</v>
      </c>
    </row>
    <row r="2" spans="1:21" x14ac:dyDescent="0.25">
      <c r="A2" t="str" cm="1">
        <f t="array" ref="A2">INDEX(ipopt_output!A:A, (ROW()-2)*$U2+2)</f>
        <v>cart_pole_swing_col3_py</v>
      </c>
      <c r="B2" t="str" cm="1">
        <f t="array" ref="B2">INDEX(ipopt_output!B:B, (ROW()-2)*$U2+2)</f>
        <v>Optimal Solution Found.</v>
      </c>
      <c r="C2">
        <f>IFERROR(AVERAGE(INDEX(ipopt_output!C:C, (ROW()-2)*$U2+2):INDEX(ipopt_output!C:C, (ROW()-2)*$U2 + $U2+1)), "")</f>
        <v>900</v>
      </c>
      <c r="D2">
        <f>IFERROR(AVERAGE(INDEX(ipopt_output!D:D, (ROW()-2)*$U2+2):INDEX(ipopt_output!D:D, (ROW()-2)*$U2 + $U2+1)), "")</f>
        <v>853</v>
      </c>
      <c r="E2">
        <f>IFERROR(AVERAGE(INDEX(ipopt_output!E:E, (ROW()-2)*$U2+2):INDEX(ipopt_output!E:E, (ROW()-2)*$U2 + $U2+1)), "")</f>
        <v>50</v>
      </c>
      <c r="F2">
        <f>IFERROR(AVERAGE(INDEX(ipopt_output!F:F, (ROW()-2)*$U2+2):INDEX(ipopt_output!F:F, (ROW()-2)*$U2 + $U2+1)), "")</f>
        <v>371</v>
      </c>
      <c r="G2">
        <f>IFERROR(AVERAGE(INDEX(ipopt_output!G:G, (ROW()-2)*$U2+2):INDEX(ipopt_output!G:G, (ROW()-2)*$U2 + $U2+1)), "")</f>
        <v>1583.3389991627662</v>
      </c>
      <c r="H2">
        <f>IFERROR(AVERAGE(INDEX(ipopt_output!H:H, (ROW()-2)*$U2+2):INDEX(ipopt_output!H:H, (ROW()-2)*$U2 + $U2+1)), "")</f>
        <v>1.6081358467090467E-10</v>
      </c>
      <c r="I2">
        <f>IFERROR(AVERAGE(INDEX(ipopt_output!I:I, (ROW()-2)*$U2+2):INDEX(ipopt_output!I:I, (ROW()-2)*$U2 + $U2+1)), "")</f>
        <v>1.0528999999999999</v>
      </c>
      <c r="J2">
        <f>IFERROR(AVERAGE(INDEX(ipopt_output!J:J, (ROW()-2)*$U2+2):INDEX(ipopt_output!J:J, (ROW()-2)*$U2 + $U2+1)), "")</f>
        <v>0.14619999999999997</v>
      </c>
      <c r="K2">
        <f>IFERROR(AVERAGE(INDEX(ipopt_output!K:K, (ROW()-2)*$U2+2):INDEX(ipopt_output!K:K, (ROW()-2)*$U2 + $U2+1)), "")</f>
        <v>2.0234641163959166</v>
      </c>
      <c r="L2" t="str">
        <f>IFERROR(AVERAGE(INDEX(ipopt_output!L:L, (ROW()-2)*$U2+2):INDEX(ipopt_output!L:L, (ROW()-2)*$U2 + $U2+1)), "")</f>
        <v/>
      </c>
      <c r="M2" t="str">
        <f>IFERROR(AVERAGE(INDEX(ipopt_output!M:M, (ROW()-2)*$U2+2):INDEX(ipopt_output!M:M, (ROW()-2)*$U2 + $U2+1)), "")</f>
        <v/>
      </c>
      <c r="N2" t="str">
        <f>IFERROR(AVERAGE(INDEX(ipopt_output!N:N, (ROW()-2)*$U2+2):INDEX(ipopt_output!N:N, (ROW()-2)*$U2 + $U2+1)), "")</f>
        <v/>
      </c>
      <c r="O2" t="str">
        <f>IFERROR(AVERAGE(INDEX(ipopt_output!O:O, (ROW()-2)*$U2+2):INDEX(ipopt_output!O:O, (ROW()-2)*$U2 + $U2+1)), "")</f>
        <v/>
      </c>
      <c r="P2" t="str">
        <f>IFERROR(AVERAGE(INDEX(ipopt_output!P:P, (ROW()-2)*$U2+2):INDEX(ipopt_output!P:P, (ROW()-2)*$U2 + $U2+1)), "")</f>
        <v/>
      </c>
      <c r="Q2" t="str">
        <f>IFERROR(AVERAGE(INDEX(ipopt_output!Q:Q, (ROW()-2)*$U2+2):INDEX(ipopt_output!Q:Q, (ROW()-2)*$U2 + $U2+1)), "")</f>
        <v/>
      </c>
      <c r="R2">
        <f>IFERROR(AVERAGE(INDEX(ipopt_output!R:R, (ROW()-2)*$U2+2):INDEX(ipopt_output!R:R, (ROW()-2)*$U2 + $U2+1)), "")</f>
        <v>2.0234649999999998</v>
      </c>
      <c r="S2">
        <f>IFERROR(AVERAGE(INDEX(ipopt_output!S:S, (ROW()-2)*$U2+2):INDEX(ipopt_output!S:S, (ROW()-2)*$U2 + $U2+1)), "")</f>
        <v>20260421</v>
      </c>
      <c r="T2">
        <f>IFERROR(AVERAGE(INDEX(ipopt_output!T:T, (ROW()-2)*$U2+2):INDEX(ipopt_output!T:T, (ROW()-2)*$U2 + $U2+1)), "")</f>
        <v>176172.1</v>
      </c>
      <c r="U2">
        <f>COUNTIF(ipopt_output!A:A, ipopt_output!A2)</f>
        <v>10</v>
      </c>
    </row>
    <row r="3" spans="1:21" x14ac:dyDescent="0.25">
      <c r="A3" t="str" cm="1">
        <f t="array" ref="A3">INDEX(ipopt_output!A:A, (ROW()-2)*$U3+2)</f>
        <v>cart_pole_swing_col3_run</v>
      </c>
      <c r="B3" t="str" cm="1">
        <f t="array" ref="B3">INDEX(ipopt_output!B:B, (ROW()-2)*$U3+2)</f>
        <v>Optimal Solution Found.</v>
      </c>
      <c r="C3">
        <f>IFERROR(AVERAGE(INDEX(ipopt_output!C:C, (ROW()-2)*$U3+2):INDEX(ipopt_output!C:C, (ROW()-2)*$U3 + $U3+1)), "")</f>
        <v>1197</v>
      </c>
      <c r="D3">
        <f>IFERROR(AVERAGE(INDEX(ipopt_output!D:D, (ROW()-2)*$U3+2):INDEX(ipopt_output!D:D, (ROW()-2)*$U3 + $U3+1)), "")</f>
        <v>1150</v>
      </c>
      <c r="E3">
        <f>IFERROR(AVERAGE(INDEX(ipopt_output!E:E, (ROW()-2)*$U3+2):INDEX(ipopt_output!E:E, (ROW()-2)*$U3 + $U3+1)), "")</f>
        <v>50</v>
      </c>
      <c r="F3">
        <f>IFERROR(AVERAGE(INDEX(ipopt_output!F:F, (ROW()-2)*$U3+2):INDEX(ipopt_output!F:F, (ROW()-2)*$U3 + $U3+1)), "")</f>
        <v>409</v>
      </c>
      <c r="G3">
        <f>IFERROR(AVERAGE(INDEX(ipopt_output!G:G, (ROW()-2)*$U3+2):INDEX(ipopt_output!G:G, (ROW()-2)*$U3 + $U3+1)), "")</f>
        <v>1921.3975853618253</v>
      </c>
      <c r="H3">
        <f>IFERROR(AVERAGE(INDEX(ipopt_output!H:H, (ROW()-2)*$U3+2):INDEX(ipopt_output!H:H, (ROW()-2)*$U3 + $U3+1)), "")</f>
        <v>2.1722890153341723E-10</v>
      </c>
      <c r="I3">
        <f>IFERROR(AVERAGE(INDEX(ipopt_output!I:I, (ROW()-2)*$U3+2):INDEX(ipopt_output!I:I, (ROW()-2)*$U3 + $U3+1)), "")</f>
        <v>3.3671999999999995</v>
      </c>
      <c r="J3">
        <f>IFERROR(AVERAGE(INDEX(ipopt_output!J:J, (ROW()-2)*$U3+2):INDEX(ipopt_output!J:J, (ROW()-2)*$U3 + $U3+1)), "")</f>
        <v>0.75600000000000001</v>
      </c>
      <c r="K3" t="str">
        <f>IFERROR(AVERAGE(INDEX(ipopt_output!K:K, (ROW()-2)*$U3+2):INDEX(ipopt_output!K:K, (ROW()-2)*$U3 + $U3+1)), "")</f>
        <v/>
      </c>
      <c r="L3">
        <f>IFERROR(AVERAGE(INDEX(ipopt_output!L:L, (ROW()-2)*$U3+2):INDEX(ipopt_output!L:L, (ROW()-2)*$U3 + $U3+1)), "")</f>
        <v>6.0337100000000012E-2</v>
      </c>
      <c r="M3">
        <f>IFERROR(AVERAGE(INDEX(ipopt_output!M:M, (ROW()-2)*$U3+2):INDEX(ipopt_output!M:M, (ROW()-2)*$U3 + $U3+1)), "")</f>
        <v>4.1825874000000001</v>
      </c>
      <c r="N3">
        <f>IFERROR(AVERAGE(INDEX(ipopt_output!N:N, (ROW()-2)*$U3+2):INDEX(ipopt_output!N:N, (ROW()-2)*$U3 + $U3+1)), "")</f>
        <v>19139</v>
      </c>
      <c r="O3">
        <f>IFERROR(AVERAGE(INDEX(ipopt_output!O:O, (ROW()-2)*$U3+2):INDEX(ipopt_output!O:O, (ROW()-2)*$U3 + $U3+1)), "")</f>
        <v>1197</v>
      </c>
      <c r="P3">
        <f>IFERROR(AVERAGE(INDEX(ipopt_output!P:P, (ROW()-2)*$U3+2):INDEX(ipopt_output!P:P, (ROW()-2)*$U3 + $U3+1)), "")</f>
        <v>19447</v>
      </c>
      <c r="Q3">
        <f>IFERROR(AVERAGE(INDEX(ipopt_output!Q:Q, (ROW()-2)*$U3+2):INDEX(ipopt_output!Q:Q, (ROW()-2)*$U3 + $U3+1)), "")</f>
        <v>1200</v>
      </c>
      <c r="R3">
        <f>IFERROR(AVERAGE(INDEX(ipopt_output!R:R, (ROW()-2)*$U3+2):INDEX(ipopt_output!R:R, (ROW()-2)*$U3 + $U3+1)), "")</f>
        <v>4.2429250000000005</v>
      </c>
      <c r="S3">
        <f>IFERROR(AVERAGE(INDEX(ipopt_output!S:S, (ROW()-2)*$U3+2):INDEX(ipopt_output!S:S, (ROW()-2)*$U3 + $U3+1)), "")</f>
        <v>20260421</v>
      </c>
      <c r="T3">
        <f>IFERROR(AVERAGE(INDEX(ipopt_output!T:T, (ROW()-2)*$U3+2):INDEX(ipopt_output!T:T, (ROW()-2)*$U3 + $U3+1)), "")</f>
        <v>171437.4</v>
      </c>
      <c r="U3" cm="1">
        <f t="array" ref="U3">COUNTIF(ipopt_output!A:A,INDEX(ipopt_output!A:A,SUM(U$2:U2)+2))</f>
        <v>10</v>
      </c>
    </row>
    <row r="4" spans="1:21" x14ac:dyDescent="0.25">
      <c r="A4" t="str" cm="1">
        <f t="array" ref="A4">INDEX(ipopt_output!A:A, (ROW()-2)*$U4+2)</f>
        <v>cart_pole_swing_rk1_py</v>
      </c>
      <c r="B4" t="str" cm="1">
        <f t="array" ref="B4">INDEX(ipopt_output!B:B, (ROW()-2)*$U4+2)</f>
        <v>Optimal Solution Found.</v>
      </c>
      <c r="C4">
        <f>IFERROR(AVERAGE(INDEX(ipopt_output!C:C, (ROW()-2)*$U4+2):INDEX(ipopt_output!C:C, (ROW()-2)*$U4 + $U4+1)), "")</f>
        <v>300</v>
      </c>
      <c r="D4">
        <f>IFERROR(AVERAGE(INDEX(ipopt_output!D:D, (ROW()-2)*$U4+2):INDEX(ipopt_output!D:D, (ROW()-2)*$U4 + $U4+1)), "")</f>
        <v>253</v>
      </c>
      <c r="E4">
        <f>IFERROR(AVERAGE(INDEX(ipopt_output!E:E, (ROW()-2)*$U4+2):INDEX(ipopt_output!E:E, (ROW()-2)*$U4 + $U4+1)), "")</f>
        <v>50</v>
      </c>
      <c r="F4">
        <f>IFERROR(AVERAGE(INDEX(ipopt_output!F:F, (ROW()-2)*$U4+2):INDEX(ipopt_output!F:F, (ROW()-2)*$U4 + $U4+1)), "")</f>
        <v>371</v>
      </c>
      <c r="G4">
        <f>IFERROR(AVERAGE(INDEX(ipopt_output!G:G, (ROW()-2)*$U4+2):INDEX(ipopt_output!G:G, (ROW()-2)*$U4 + $U4+1)), "")</f>
        <v>1583.3389991627485</v>
      </c>
      <c r="H4">
        <f>IFERROR(AVERAGE(INDEX(ipopt_output!H:H, (ROW()-2)*$U4+2):INDEX(ipopt_output!H:H, (ROW()-2)*$U4 + $U4+1)), "")</f>
        <v>1.6081536102774407E-10</v>
      </c>
      <c r="I4">
        <f>IFERROR(AVERAGE(INDEX(ipopt_output!I:I, (ROW()-2)*$U4+2):INDEX(ipopt_output!I:I, (ROW()-2)*$U4 + $U4+1)), "")</f>
        <v>0.57430000000000003</v>
      </c>
      <c r="J4">
        <f>IFERROR(AVERAGE(INDEX(ipopt_output!J:J, (ROW()-2)*$U4+2):INDEX(ipopt_output!J:J, (ROW()-2)*$U4 + $U4+1)), "")</f>
        <v>8.8299999999999976E-2</v>
      </c>
      <c r="K4">
        <f>IFERROR(AVERAGE(INDEX(ipopt_output!K:K, (ROW()-2)*$U4+2):INDEX(ipopt_output!K:K, (ROW()-2)*$U4 + $U4+1)), "")</f>
        <v>1.2047804984962567</v>
      </c>
      <c r="L4" t="str">
        <f>IFERROR(AVERAGE(INDEX(ipopt_output!L:L, (ROW()-2)*$U4+2):INDEX(ipopt_output!L:L, (ROW()-2)*$U4 + $U4+1)), "")</f>
        <v/>
      </c>
      <c r="M4" t="str">
        <f>IFERROR(AVERAGE(INDEX(ipopt_output!M:M, (ROW()-2)*$U4+2):INDEX(ipopt_output!M:M, (ROW()-2)*$U4 + $U4+1)), "")</f>
        <v/>
      </c>
      <c r="N4" t="str">
        <f>IFERROR(AVERAGE(INDEX(ipopt_output!N:N, (ROW()-2)*$U4+2):INDEX(ipopt_output!N:N, (ROW()-2)*$U4 + $U4+1)), "")</f>
        <v/>
      </c>
      <c r="O4" t="str">
        <f>IFERROR(AVERAGE(INDEX(ipopt_output!O:O, (ROW()-2)*$U4+2):INDEX(ipopt_output!O:O, (ROW()-2)*$U4 + $U4+1)), "")</f>
        <v/>
      </c>
      <c r="P4" t="str">
        <f>IFERROR(AVERAGE(INDEX(ipopt_output!P:P, (ROW()-2)*$U4+2):INDEX(ipopt_output!P:P, (ROW()-2)*$U4 + $U4+1)), "")</f>
        <v/>
      </c>
      <c r="Q4" t="str">
        <f>IFERROR(AVERAGE(INDEX(ipopt_output!Q:Q, (ROW()-2)*$U4+2):INDEX(ipopt_output!Q:Q, (ROW()-2)*$U4 + $U4+1)), "")</f>
        <v/>
      </c>
      <c r="R4">
        <f>IFERROR(AVERAGE(INDEX(ipopt_output!R:R, (ROW()-2)*$U4+2):INDEX(ipopt_output!R:R, (ROW()-2)*$U4 + $U4+1)), "")</f>
        <v>1.2047789999999998</v>
      </c>
      <c r="S4">
        <f>IFERROR(AVERAGE(INDEX(ipopt_output!S:S, (ROW()-2)*$U4+2):INDEX(ipopt_output!S:S, (ROW()-2)*$U4 + $U4+1)), "")</f>
        <v>20260421</v>
      </c>
      <c r="T4">
        <f>IFERROR(AVERAGE(INDEX(ipopt_output!T:T, (ROW()-2)*$U4+2):INDEX(ipopt_output!T:T, (ROW()-2)*$U4 + $U4+1)), "")</f>
        <v>176172.1</v>
      </c>
      <c r="U4" cm="1">
        <f t="array" ref="U4">COUNTIF(ipopt_output!A:A,INDEX(ipopt_output!A:A,SUM(U$2:U3)+2))</f>
        <v>10</v>
      </c>
    </row>
    <row r="5" spans="1:21" x14ac:dyDescent="0.25">
      <c r="A5" t="str" cm="1">
        <f t="array" ref="A5">INDEX(ipopt_output!A:A, (ROW()-2)*$U5+2)</f>
        <v>cart_pole_swing_rk1_run</v>
      </c>
      <c r="B5" t="str" cm="1">
        <f t="array" ref="B5">INDEX(ipopt_output!B:B, (ROW()-2)*$U5+2)</f>
        <v>Optimal Solution Found.</v>
      </c>
      <c r="C5">
        <f>IFERROR(AVERAGE(INDEX(ipopt_output!C:C, (ROW()-2)*$U5+2):INDEX(ipopt_output!C:C, (ROW()-2)*$U5 + $U5+1)), "")</f>
        <v>295</v>
      </c>
      <c r="D5">
        <f>IFERROR(AVERAGE(INDEX(ipopt_output!D:D, (ROW()-2)*$U5+2):INDEX(ipopt_output!D:D, (ROW()-2)*$U5 + $U5+1)), "")</f>
        <v>248</v>
      </c>
      <c r="E5">
        <f>IFERROR(AVERAGE(INDEX(ipopt_output!E:E, (ROW()-2)*$U5+2):INDEX(ipopt_output!E:E, (ROW()-2)*$U5 + $U5+1)), "")</f>
        <v>50</v>
      </c>
      <c r="F5">
        <f>IFERROR(AVERAGE(INDEX(ipopt_output!F:F, (ROW()-2)*$U5+2):INDEX(ipopt_output!F:F, (ROW()-2)*$U5 + $U5+1)), "")</f>
        <v>371</v>
      </c>
      <c r="G5">
        <f>IFERROR(AVERAGE(INDEX(ipopt_output!G:G, (ROW()-2)*$U5+2):INDEX(ipopt_output!G:G, (ROW()-2)*$U5 + $U5+1)), "")</f>
        <v>1583.3389991627482</v>
      </c>
      <c r="H5">
        <f>IFERROR(AVERAGE(INDEX(ipopt_output!H:H, (ROW()-2)*$U5+2):INDEX(ipopt_output!H:H, (ROW()-2)*$U5 + $U5+1)), "")</f>
        <v>1.6081003195722587E-10</v>
      </c>
      <c r="I5">
        <f>IFERROR(AVERAGE(INDEX(ipopt_output!I:I, (ROW()-2)*$U5+2):INDEX(ipopt_output!I:I, (ROW()-2)*$U5 + $U5+1)), "")</f>
        <v>1.2858000000000003</v>
      </c>
      <c r="J5">
        <f>IFERROR(AVERAGE(INDEX(ipopt_output!J:J, (ROW()-2)*$U5+2):INDEX(ipopt_output!J:J, (ROW()-2)*$U5 + $U5+1)), "")</f>
        <v>0.57389999999999997</v>
      </c>
      <c r="K5" t="str">
        <f>IFERROR(AVERAGE(INDEX(ipopt_output!K:K, (ROW()-2)*$U5+2):INDEX(ipopt_output!K:K, (ROW()-2)*$U5 + $U5+1)), "")</f>
        <v/>
      </c>
      <c r="L5">
        <f>IFERROR(AVERAGE(INDEX(ipopt_output!L:L, (ROW()-2)*$U5+2):INDEX(ipopt_output!L:L, (ROW()-2)*$U5 + $U5+1)), "")</f>
        <v>5.0045599999999912E-2</v>
      </c>
      <c r="M5">
        <f>IFERROR(AVERAGE(INDEX(ipopt_output!M:M, (ROW()-2)*$U5+2):INDEX(ipopt_output!M:M, (ROW()-2)*$U5 + $U5+1)), "")</f>
        <v>1.9857579999999999</v>
      </c>
      <c r="N5">
        <f>IFERROR(AVERAGE(INDEX(ipopt_output!N:N, (ROW()-2)*$U5+2):INDEX(ipopt_output!N:N, (ROW()-2)*$U5 + $U5+1)), "")</f>
        <v>16889</v>
      </c>
      <c r="O5">
        <f>IFERROR(AVERAGE(INDEX(ipopt_output!O:O, (ROW()-2)*$U5+2):INDEX(ipopt_output!O:O, (ROW()-2)*$U5 + $U5+1)), "")</f>
        <v>295</v>
      </c>
      <c r="P5">
        <f>IFERROR(AVERAGE(INDEX(ipopt_output!P:P, (ROW()-2)*$U5+2):INDEX(ipopt_output!P:P, (ROW()-2)*$U5 + $U5+1)), "")</f>
        <v>17197</v>
      </c>
      <c r="Q5">
        <f>IFERROR(AVERAGE(INDEX(ipopt_output!Q:Q, (ROW()-2)*$U5+2):INDEX(ipopt_output!Q:Q, (ROW()-2)*$U5 + $U5+1)), "")</f>
        <v>298</v>
      </c>
      <c r="R5">
        <f>IFERROR(AVERAGE(INDEX(ipopt_output!R:R, (ROW()-2)*$U5+2):INDEX(ipopt_output!R:R, (ROW()-2)*$U5 + $U5+1)), "")</f>
        <v>2.0358019999999999</v>
      </c>
      <c r="S5">
        <f>IFERROR(AVERAGE(INDEX(ipopt_output!S:S, (ROW()-2)*$U5+2):INDEX(ipopt_output!S:S, (ROW()-2)*$U5 + $U5+1)), "")</f>
        <v>20260421</v>
      </c>
      <c r="T5">
        <f>IFERROR(AVERAGE(INDEX(ipopt_output!T:T, (ROW()-2)*$U5+2):INDEX(ipopt_output!T:T, (ROW()-2)*$U5 + $U5+1)), "")</f>
        <v>171437.4</v>
      </c>
      <c r="U5" cm="1">
        <f t="array" ref="U5">COUNTIF(ipopt_output!A:A,INDEX(ipopt_output!A:A,SUM(U$2:U4)+2))</f>
        <v>10</v>
      </c>
    </row>
    <row r="6" spans="1:21" x14ac:dyDescent="0.25">
      <c r="A6" t="str" cm="1">
        <f t="array" ref="A6">INDEX(ipopt_output!A:A, (ROW()-2)*$U6+2)</f>
        <v>cart_pole_swing_rk4_py</v>
      </c>
      <c r="B6" t="str" cm="1">
        <f t="array" ref="B6">INDEX(ipopt_output!B:B, (ROW()-2)*$U6+2)</f>
        <v>Optimal Solution Found.</v>
      </c>
      <c r="C6">
        <f>IFERROR(AVERAGE(INDEX(ipopt_output!C:C, (ROW()-2)*$U6+2):INDEX(ipopt_output!C:C, (ROW()-2)*$U6 + $U6+1)), "")</f>
        <v>300</v>
      </c>
      <c r="D6">
        <f>IFERROR(AVERAGE(INDEX(ipopt_output!D:D, (ROW()-2)*$U6+2):INDEX(ipopt_output!D:D, (ROW()-2)*$U6 + $U6+1)), "")</f>
        <v>253</v>
      </c>
      <c r="E6">
        <f>IFERROR(AVERAGE(INDEX(ipopt_output!E:E, (ROW()-2)*$U6+2):INDEX(ipopt_output!E:E, (ROW()-2)*$U6 + $U6+1)), "")</f>
        <v>50</v>
      </c>
      <c r="F6">
        <f>IFERROR(AVERAGE(INDEX(ipopt_output!F:F, (ROW()-2)*$U6+2):INDEX(ipopt_output!F:F, (ROW()-2)*$U6 + $U6+1)), "")</f>
        <v>411</v>
      </c>
      <c r="G6">
        <f>IFERROR(AVERAGE(INDEX(ipopt_output!G:G, (ROW()-2)*$U6+2):INDEX(ipopt_output!G:G, (ROW()-2)*$U6 + $U6+1)), "")</f>
        <v>1921.397585361809</v>
      </c>
      <c r="H6">
        <f>IFERROR(AVERAGE(INDEX(ipopt_output!H:H, (ROW()-2)*$U6+2):INDEX(ipopt_output!H:H, (ROW()-2)*$U6 + $U6+1)), "")</f>
        <v>2.1748114420461206E-10</v>
      </c>
      <c r="I6">
        <f>IFERROR(AVERAGE(INDEX(ipopt_output!I:I, (ROW()-2)*$U6+2):INDEX(ipopt_output!I:I, (ROW()-2)*$U6 + $U6+1)), "")</f>
        <v>0.61480000000000001</v>
      </c>
      <c r="J6">
        <f>IFERROR(AVERAGE(INDEX(ipopt_output!J:J, (ROW()-2)*$U6+2):INDEX(ipopt_output!J:J, (ROW()-2)*$U6 + $U6+1)), "")</f>
        <v>0.10389999999999999</v>
      </c>
      <c r="K6">
        <f>IFERROR(AVERAGE(INDEX(ipopt_output!K:K, (ROW()-2)*$U6+2):INDEX(ipopt_output!K:K, (ROW()-2)*$U6 + $U6+1)), "")</f>
        <v>1.2879336291982326</v>
      </c>
      <c r="L6" t="str">
        <f>IFERROR(AVERAGE(INDEX(ipopt_output!L:L, (ROW()-2)*$U6+2):INDEX(ipopt_output!L:L, (ROW()-2)*$U6 + $U6+1)), "")</f>
        <v/>
      </c>
      <c r="M6" t="str">
        <f>IFERROR(AVERAGE(INDEX(ipopt_output!M:M, (ROW()-2)*$U6+2):INDEX(ipopt_output!M:M, (ROW()-2)*$U6 + $U6+1)), "")</f>
        <v/>
      </c>
      <c r="N6" t="str">
        <f>IFERROR(AVERAGE(INDEX(ipopt_output!N:N, (ROW()-2)*$U6+2):INDEX(ipopt_output!N:N, (ROW()-2)*$U6 + $U6+1)), "")</f>
        <v/>
      </c>
      <c r="O6" t="str">
        <f>IFERROR(AVERAGE(INDEX(ipopt_output!O:O, (ROW()-2)*$U6+2):INDEX(ipopt_output!O:O, (ROW()-2)*$U6 + $U6+1)), "")</f>
        <v/>
      </c>
      <c r="P6" t="str">
        <f>IFERROR(AVERAGE(INDEX(ipopt_output!P:P, (ROW()-2)*$U6+2):INDEX(ipopt_output!P:P, (ROW()-2)*$U6 + $U6+1)), "")</f>
        <v/>
      </c>
      <c r="Q6" t="str">
        <f>IFERROR(AVERAGE(INDEX(ipopt_output!Q:Q, (ROW()-2)*$U6+2):INDEX(ipopt_output!Q:Q, (ROW()-2)*$U6 + $U6+1)), "")</f>
        <v/>
      </c>
      <c r="R6">
        <f>IFERROR(AVERAGE(INDEX(ipopt_output!R:R, (ROW()-2)*$U6+2):INDEX(ipopt_output!R:R, (ROW()-2)*$U6 + $U6+1)), "")</f>
        <v>1.287933</v>
      </c>
      <c r="S6">
        <f>IFERROR(AVERAGE(INDEX(ipopt_output!S:S, (ROW()-2)*$U6+2):INDEX(ipopt_output!S:S, (ROW()-2)*$U6 + $U6+1)), "")</f>
        <v>20260421</v>
      </c>
      <c r="T6">
        <f>IFERROR(AVERAGE(INDEX(ipopt_output!T:T, (ROW()-2)*$U6+2):INDEX(ipopt_output!T:T, (ROW()-2)*$U6 + $U6+1)), "")</f>
        <v>176172.1</v>
      </c>
      <c r="U6" cm="1">
        <f t="array" ref="U6">COUNTIF(ipopt_output!A:A,INDEX(ipopt_output!A:A,SUM(U$2:U5)+2))</f>
        <v>10</v>
      </c>
    </row>
    <row r="7" spans="1:21" x14ac:dyDescent="0.25">
      <c r="A7" t="str" cm="1">
        <f t="array" ref="A7">INDEX(ipopt_output!A:A, (ROW()-2)*$U7+2)</f>
        <v>cart_pole_swing_rk4_run</v>
      </c>
      <c r="B7" t="str" cm="1">
        <f t="array" ref="B7">INDEX(ipopt_output!B:B, (ROW()-2)*$U7+2)</f>
        <v>Optimal Solution Found.</v>
      </c>
      <c r="C7">
        <f>IFERROR(AVERAGE(INDEX(ipopt_output!C:C, (ROW()-2)*$U7+2):INDEX(ipopt_output!C:C, (ROW()-2)*$U7 + $U7+1)), "")</f>
        <v>1195</v>
      </c>
      <c r="D7">
        <f>IFERROR(AVERAGE(INDEX(ipopt_output!D:D, (ROW()-2)*$U7+2):INDEX(ipopt_output!D:D, (ROW()-2)*$U7 + $U7+1)), "")</f>
        <v>1148</v>
      </c>
      <c r="E7">
        <f>IFERROR(AVERAGE(INDEX(ipopt_output!E:E, (ROW()-2)*$U7+2):INDEX(ipopt_output!E:E, (ROW()-2)*$U7 + $U7+1)), "")</f>
        <v>50</v>
      </c>
      <c r="F7">
        <f>IFERROR(AVERAGE(INDEX(ipopt_output!F:F, (ROW()-2)*$U7+2):INDEX(ipopt_output!F:F, (ROW()-2)*$U7 + $U7+1)), "")</f>
        <v>409</v>
      </c>
      <c r="G7">
        <f>IFERROR(AVERAGE(INDEX(ipopt_output!G:G, (ROW()-2)*$U7+2):INDEX(ipopt_output!G:G, (ROW()-2)*$U7 + $U7+1)), "")</f>
        <v>1921.397585361826</v>
      </c>
      <c r="H7">
        <f>IFERROR(AVERAGE(INDEX(ipopt_output!H:H, (ROW()-2)*$U7+2):INDEX(ipopt_output!H:H, (ROW()-2)*$U7 + $U7+1)), "")</f>
        <v>2.1722712517657783E-10</v>
      </c>
      <c r="I7">
        <f>IFERROR(AVERAGE(INDEX(ipopt_output!I:I, (ROW()-2)*$U7+2):INDEX(ipopt_output!I:I, (ROW()-2)*$U7 + $U7+1)), "")</f>
        <v>3.6</v>
      </c>
      <c r="J7">
        <f>IFERROR(AVERAGE(INDEX(ipopt_output!J:J, (ROW()-2)*$U7+2):INDEX(ipopt_output!J:J, (ROW()-2)*$U7 + $U7+1)), "")</f>
        <v>0.73550000000000004</v>
      </c>
      <c r="K7" t="str">
        <f>IFERROR(AVERAGE(INDEX(ipopt_output!K:K, (ROW()-2)*$U7+2):INDEX(ipopt_output!K:K, (ROW()-2)*$U7 + $U7+1)), "")</f>
        <v/>
      </c>
      <c r="L7">
        <f>IFERROR(AVERAGE(INDEX(ipopt_output!L:L, (ROW()-2)*$U7+2):INDEX(ipopt_output!L:L, (ROW()-2)*$U7 + $U7+1)), "")</f>
        <v>5.4448999999999789E-2</v>
      </c>
      <c r="M7">
        <f>IFERROR(AVERAGE(INDEX(ipopt_output!M:M, (ROW()-2)*$U7+2):INDEX(ipopt_output!M:M, (ROW()-2)*$U7 + $U7+1)), "")</f>
        <v>4.4627050999999991</v>
      </c>
      <c r="N7">
        <f>IFERROR(AVERAGE(INDEX(ipopt_output!N:N, (ROW()-2)*$U7+2):INDEX(ipopt_output!N:N, (ROW()-2)*$U7 + $U7+1)), "")</f>
        <v>19139</v>
      </c>
      <c r="O7">
        <f>IFERROR(AVERAGE(INDEX(ipopt_output!O:O, (ROW()-2)*$U7+2):INDEX(ipopt_output!O:O, (ROW()-2)*$U7 + $U7+1)), "")</f>
        <v>1195</v>
      </c>
      <c r="P7">
        <f>IFERROR(AVERAGE(INDEX(ipopt_output!P:P, (ROW()-2)*$U7+2):INDEX(ipopt_output!P:P, (ROW()-2)*$U7 + $U7+1)), "")</f>
        <v>19447</v>
      </c>
      <c r="Q7">
        <f>IFERROR(AVERAGE(INDEX(ipopt_output!Q:Q, (ROW()-2)*$U7+2):INDEX(ipopt_output!Q:Q, (ROW()-2)*$U7 + $U7+1)), "")</f>
        <v>1198</v>
      </c>
      <c r="R7">
        <f>IFERROR(AVERAGE(INDEX(ipopt_output!R:R, (ROW()-2)*$U7+2):INDEX(ipopt_output!R:R, (ROW()-2)*$U7 + $U7+1)), "")</f>
        <v>4.5171549999999998</v>
      </c>
      <c r="S7">
        <f>IFERROR(AVERAGE(INDEX(ipopt_output!S:S, (ROW()-2)*$U7+2):INDEX(ipopt_output!S:S, (ROW()-2)*$U7 + $U7+1)), "")</f>
        <v>20260421</v>
      </c>
      <c r="T7">
        <f>IFERROR(AVERAGE(INDEX(ipopt_output!T:T, (ROW()-2)*$U7+2):INDEX(ipopt_output!T:T, (ROW()-2)*$U7 + $U7+1)), "")</f>
        <v>171437.4</v>
      </c>
      <c r="U7" cm="1">
        <f t="array" ref="U7">COUNTIF(ipopt_output!A:A,INDEX(ipopt_output!A:A,SUM(U$2:U6)+2))</f>
        <v>10</v>
      </c>
    </row>
    <row r="8" spans="1:21" x14ac:dyDescent="0.25">
      <c r="A8" t="str" cm="1">
        <f t="array" ref="A8">INDEX(ipopt_output!A:A, (ROW()-2)*$U8+2)</f>
        <v>spot_jump_twist_col3_py</v>
      </c>
      <c r="B8" t="str" cm="1">
        <f t="array" ref="B8">INDEX(ipopt_output!B:B, (ROW()-2)*$U8+2)</f>
        <v>Converged to a point of local infeasibility. Problem may be infeasible.</v>
      </c>
      <c r="C8">
        <f>IFERROR(AVERAGE(INDEX(ipopt_output!C:C, (ROW()-2)*$U8+2):INDEX(ipopt_output!C:C, (ROW()-2)*$U8 + $U8+1)), "")</f>
        <v>8950</v>
      </c>
      <c r="D8">
        <f>IFERROR(AVERAGE(INDEX(ipopt_output!D:D, (ROW()-2)*$U8+2):INDEX(ipopt_output!D:D, (ROW()-2)*$U8 + $U8+1)), "")</f>
        <v>8337</v>
      </c>
      <c r="E8">
        <f>IFERROR(AVERAGE(INDEX(ipopt_output!E:E, (ROW()-2)*$U8+2):INDEX(ipopt_output!E:E, (ROW()-2)*$U8 + $U8+1)), "")</f>
        <v>1180</v>
      </c>
      <c r="F8">
        <f>IFERROR(AVERAGE(INDEX(ipopt_output!F:F, (ROW()-2)*$U8+2):INDEX(ipopt_output!F:F, (ROW()-2)*$U8 + $U8+1)), "")</f>
        <v>493</v>
      </c>
      <c r="G8">
        <f>IFERROR(AVERAGE(INDEX(ipopt_output!G:G, (ROW()-2)*$U8+2):INDEX(ipopt_output!G:G, (ROW()-2)*$U8 + $U8+1)), "")</f>
        <v>16947.152891601992</v>
      </c>
      <c r="H8">
        <f>IFERROR(AVERAGE(INDEX(ipopt_output!H:H, (ROW()-2)*$U8+2):INDEX(ipopt_output!H:H, (ROW()-2)*$U8 + $U8+1)), "")</f>
        <v>1.2411050059394912E-2</v>
      </c>
      <c r="I8">
        <f>IFERROR(AVERAGE(INDEX(ipopt_output!I:I, (ROW()-2)*$U8+2):INDEX(ipopt_output!I:I, (ROW()-2)*$U8 + $U8+1)), "")</f>
        <v>74.8399</v>
      </c>
      <c r="J8">
        <f>IFERROR(AVERAGE(INDEX(ipopt_output!J:J, (ROW()-2)*$U8+2):INDEX(ipopt_output!J:J, (ROW()-2)*$U8 + $U8+1)), "")</f>
        <v>17.2042</v>
      </c>
      <c r="K8">
        <f>IFERROR(AVERAGE(INDEX(ipopt_output!K:K, (ROW()-2)*$U8+2):INDEX(ipopt_output!K:K, (ROW()-2)*$U8 + $U8+1)), "")</f>
        <v>124.95511775490013</v>
      </c>
      <c r="L8" t="str">
        <f>IFERROR(AVERAGE(INDEX(ipopt_output!L:L, (ROW()-2)*$U8+2):INDEX(ipopt_output!L:L, (ROW()-2)*$U8 + $U8+1)), "")</f>
        <v/>
      </c>
      <c r="M8" t="str">
        <f>IFERROR(AVERAGE(INDEX(ipopt_output!M:M, (ROW()-2)*$U8+2):INDEX(ipopt_output!M:M, (ROW()-2)*$U8 + $U8+1)), "")</f>
        <v/>
      </c>
      <c r="N8" t="str">
        <f>IFERROR(AVERAGE(INDEX(ipopt_output!N:N, (ROW()-2)*$U8+2):INDEX(ipopt_output!N:N, (ROW()-2)*$U8 + $U8+1)), "")</f>
        <v/>
      </c>
      <c r="O8" t="str">
        <f>IFERROR(AVERAGE(INDEX(ipopt_output!O:O, (ROW()-2)*$U8+2):INDEX(ipopt_output!O:O, (ROW()-2)*$U8 + $U8+1)), "")</f>
        <v/>
      </c>
      <c r="P8" t="str">
        <f>IFERROR(AVERAGE(INDEX(ipopt_output!P:P, (ROW()-2)*$U8+2):INDEX(ipopt_output!P:P, (ROW()-2)*$U8 + $U8+1)), "")</f>
        <v/>
      </c>
      <c r="Q8" t="str">
        <f>IFERROR(AVERAGE(INDEX(ipopt_output!Q:Q, (ROW()-2)*$U8+2):INDEX(ipopt_output!Q:Q, (ROW()-2)*$U8 + $U8+1)), "")</f>
        <v/>
      </c>
      <c r="R8">
        <f>IFERROR(AVERAGE(INDEX(ipopt_output!R:R, (ROW()-2)*$U8+2):INDEX(ipopt_output!R:R, (ROW()-2)*$U8 + $U8+1)), "")</f>
        <v>124.95519999999999</v>
      </c>
      <c r="S8">
        <f>IFERROR(AVERAGE(INDEX(ipopt_output!S:S, (ROW()-2)*$U8+2):INDEX(ipopt_output!S:S, (ROW()-2)*$U8 + $U8+1)), "")</f>
        <v>20260421</v>
      </c>
      <c r="T8">
        <f>IFERROR(AVERAGE(INDEX(ipopt_output!T:T, (ROW()-2)*$U8+2):INDEX(ipopt_output!T:T, (ROW()-2)*$U8 + $U8+1)), "")</f>
        <v>176172.1</v>
      </c>
      <c r="U8" cm="1">
        <f t="array" ref="U8">COUNTIF(ipopt_output!A:A,INDEX(ipopt_output!A:A,SUM(U$2:U7)+2))</f>
        <v>10</v>
      </c>
    </row>
    <row r="9" spans="1:21" x14ac:dyDescent="0.25">
      <c r="A9" t="str" cm="1">
        <f t="array" ref="A9">INDEX(ipopt_output!A:A, (ROW()-2)*$U9+2)</f>
        <v>spot_jump_twist_col3_run</v>
      </c>
      <c r="B9" t="str" cm="1">
        <f t="array" ref="B9">INDEX(ipopt_output!B:B, (ROW()-2)*$U9+2)</f>
        <v>Optimal Solution Found.</v>
      </c>
      <c r="C9">
        <f>IFERROR(AVERAGE(INDEX(ipopt_output!C:C, (ROW()-2)*$U9+2):INDEX(ipopt_output!C:C, (ROW()-2)*$U9 + $U9+1)), "")</f>
        <v>12454</v>
      </c>
      <c r="D9">
        <f>IFERROR(AVERAGE(INDEX(ipopt_output!D:D, (ROW()-2)*$U9+2):INDEX(ipopt_output!D:D, (ROW()-2)*$U9 + $U9+1)), "")</f>
        <v>11828</v>
      </c>
      <c r="E9">
        <f>IFERROR(AVERAGE(INDEX(ipopt_output!E:E, (ROW()-2)*$U9+2):INDEX(ipopt_output!E:E, (ROW()-2)*$U9 + $U9+1)), "")</f>
        <v>1080</v>
      </c>
      <c r="F9">
        <f>IFERROR(AVERAGE(INDEX(ipopt_output!F:F, (ROW()-2)*$U9+2):INDEX(ipopt_output!F:F, (ROW()-2)*$U9 + $U9+1)), "")</f>
        <v>200</v>
      </c>
      <c r="G9">
        <f>IFERROR(AVERAGE(INDEX(ipopt_output!G:G, (ROW()-2)*$U9+2):INDEX(ipopt_output!G:G, (ROW()-2)*$U9 + $U9+1)), "")</f>
        <v>14173.050169495978</v>
      </c>
      <c r="H9">
        <f>IFERROR(AVERAGE(INDEX(ipopt_output!H:H, (ROW()-2)*$U9+2):INDEX(ipopt_output!H:H, (ROW()-2)*$U9 + $U9+1)), "")</f>
        <v>1.3827502942187486E-4</v>
      </c>
      <c r="I9">
        <f>IFERROR(AVERAGE(INDEX(ipopt_output!I:I, (ROW()-2)*$U9+2):INDEX(ipopt_output!I:I, (ROW()-2)*$U9 + $U9+1)), "")</f>
        <v>70.033999999999992</v>
      </c>
      <c r="J9">
        <f>IFERROR(AVERAGE(INDEX(ipopt_output!J:J, (ROW()-2)*$U9+2):INDEX(ipopt_output!J:J, (ROW()-2)*$U9 + $U9+1)), "")</f>
        <v>591.96690000000012</v>
      </c>
      <c r="K9" t="str">
        <f>IFERROR(AVERAGE(INDEX(ipopt_output!K:K, (ROW()-2)*$U9+2):INDEX(ipopt_output!K:K, (ROW()-2)*$U9 + $U9+1)), "")</f>
        <v/>
      </c>
      <c r="L9">
        <f>IFERROR(AVERAGE(INDEX(ipopt_output!L:L, (ROW()-2)*$U9+2):INDEX(ipopt_output!L:L, (ROW()-2)*$U9 + $U9+1)), "")</f>
        <v>2.0106108999999832</v>
      </c>
      <c r="M9">
        <f>IFERROR(AVERAGE(INDEX(ipopt_output!M:M, (ROW()-2)*$U9+2):INDEX(ipopt_output!M:M, (ROW()-2)*$U9 + $U9+1)), "")</f>
        <v>669.51515640000002</v>
      </c>
      <c r="N9">
        <f>IFERROR(AVERAGE(INDEX(ipopt_output!N:N, (ROW()-2)*$U9+2):INDEX(ipopt_output!N:N, (ROW()-2)*$U9 + $U9+1)), "")</f>
        <v>309215</v>
      </c>
      <c r="O9">
        <f>IFERROR(AVERAGE(INDEX(ipopt_output!O:O, (ROW()-2)*$U9+2):INDEX(ipopt_output!O:O, (ROW()-2)*$U9 + $U9+1)), "")</f>
        <v>12454</v>
      </c>
      <c r="P9">
        <f>IFERROR(AVERAGE(INDEX(ipopt_output!P:P, (ROW()-2)*$U9+2):INDEX(ipopt_output!P:P, (ROW()-2)*$U9 + $U9+1)), "")</f>
        <v>318599</v>
      </c>
      <c r="Q9">
        <f>IFERROR(AVERAGE(INDEX(ipopt_output!Q:Q, (ROW()-2)*$U9+2):INDEX(ipopt_output!Q:Q, (ROW()-2)*$U9 + $U9+1)), "")</f>
        <v>12908</v>
      </c>
      <c r="R9">
        <f>IFERROR(AVERAGE(INDEX(ipopt_output!R:R, (ROW()-2)*$U9+2):INDEX(ipopt_output!R:R, (ROW()-2)*$U9 + $U9+1)), "")</f>
        <v>671.52569999999992</v>
      </c>
      <c r="S9">
        <f>IFERROR(AVERAGE(INDEX(ipopt_output!S:S, (ROW()-2)*$U9+2):INDEX(ipopt_output!S:S, (ROW()-2)*$U9 + $U9+1)), "")</f>
        <v>20260421</v>
      </c>
      <c r="T9">
        <f>IFERROR(AVERAGE(INDEX(ipopt_output!T:T, (ROW()-2)*$U9+2):INDEX(ipopt_output!T:T, (ROW()-2)*$U9 + $U9+1)), "")</f>
        <v>171437.4</v>
      </c>
      <c r="U9" cm="1">
        <f t="array" ref="U9">COUNTIF(ipopt_output!A:A,INDEX(ipopt_output!A:A,SUM(U$2:U8)+2))</f>
        <v>10</v>
      </c>
    </row>
    <row r="10" spans="1:21" x14ac:dyDescent="0.25">
      <c r="A10" t="str" cm="1">
        <f t="array" ref="A10">INDEX(ipopt_output!A:A, (ROW()-2)*$U10+2)</f>
        <v>spot_jump_twist_rk1_py</v>
      </c>
      <c r="B10" t="str" cm="1">
        <f t="array" ref="B10">INDEX(ipopt_output!B:B, (ROW()-2)*$U10+2)</f>
        <v>Converged to a point of local infeasibility. Problem may be infeasible.</v>
      </c>
      <c r="C10">
        <f>IFERROR(AVERAGE(INDEX(ipopt_output!C:C, (ROW()-2)*$U10+2):INDEX(ipopt_output!C:C, (ROW()-2)*$U10 + $U10+1)), "")</f>
        <v>3400</v>
      </c>
      <c r="D10">
        <f>IFERROR(AVERAGE(INDEX(ipopt_output!D:D, (ROW()-2)*$U10+2):INDEX(ipopt_output!D:D, (ROW()-2)*$U10 + $U10+1)), "")</f>
        <v>2787</v>
      </c>
      <c r="E10">
        <f>IFERROR(AVERAGE(INDEX(ipopt_output!E:E, (ROW()-2)*$U10+2):INDEX(ipopt_output!E:E, (ROW()-2)*$U10 + $U10+1)), "")</f>
        <v>1180</v>
      </c>
      <c r="F10">
        <f>IFERROR(AVERAGE(INDEX(ipopt_output!F:F, (ROW()-2)*$U10+2):INDEX(ipopt_output!F:F, (ROW()-2)*$U10 + $U10+1)), "")</f>
        <v>398</v>
      </c>
      <c r="G10">
        <f>IFERROR(AVERAGE(INDEX(ipopt_output!G:G, (ROW()-2)*$U10+2):INDEX(ipopt_output!G:G, (ROW()-2)*$U10 + $U10+1)), "")</f>
        <v>19921.461898401179</v>
      </c>
      <c r="H10">
        <f>IFERROR(AVERAGE(INDEX(ipopt_output!H:H, (ROW()-2)*$U10+2):INDEX(ipopt_output!H:H, (ROW()-2)*$U10 + $U10+1)), "")</f>
        <v>1.2054748952508354E-2</v>
      </c>
      <c r="I10">
        <f>IFERROR(AVERAGE(INDEX(ipopt_output!I:I, (ROW()-2)*$U10+2):INDEX(ipopt_output!I:I, (ROW()-2)*$U10 + $U10+1)), "")</f>
        <v>80.481199999999987</v>
      </c>
      <c r="J10">
        <f>IFERROR(AVERAGE(INDEX(ipopt_output!J:J, (ROW()-2)*$U10+2):INDEX(ipopt_output!J:J, (ROW()-2)*$U10 + $U10+1)), "")</f>
        <v>12.081100000000003</v>
      </c>
      <c r="K10">
        <f>IFERROR(AVERAGE(INDEX(ipopt_output!K:K, (ROW()-2)*$U10+2):INDEX(ipopt_output!K:K, (ROW()-2)*$U10 + $U10+1)), "")</f>
        <v>122.9848897740012</v>
      </c>
      <c r="L10" t="str">
        <f>IFERROR(AVERAGE(INDEX(ipopt_output!L:L, (ROW()-2)*$U10+2):INDEX(ipopt_output!L:L, (ROW()-2)*$U10 + $U10+1)), "")</f>
        <v/>
      </c>
      <c r="M10" t="str">
        <f>IFERROR(AVERAGE(INDEX(ipopt_output!M:M, (ROW()-2)*$U10+2):INDEX(ipopt_output!M:M, (ROW()-2)*$U10 + $U10+1)), "")</f>
        <v/>
      </c>
      <c r="N10" t="str">
        <f>IFERROR(AVERAGE(INDEX(ipopt_output!N:N, (ROW()-2)*$U10+2):INDEX(ipopt_output!N:N, (ROW()-2)*$U10 + $U10+1)), "")</f>
        <v/>
      </c>
      <c r="O10" t="str">
        <f>IFERROR(AVERAGE(INDEX(ipopt_output!O:O, (ROW()-2)*$U10+2):INDEX(ipopt_output!O:O, (ROW()-2)*$U10 + $U10+1)), "")</f>
        <v/>
      </c>
      <c r="P10" t="str">
        <f>IFERROR(AVERAGE(INDEX(ipopt_output!P:P, (ROW()-2)*$U10+2):INDEX(ipopt_output!P:P, (ROW()-2)*$U10 + $U10+1)), "")</f>
        <v/>
      </c>
      <c r="Q10" t="str">
        <f>IFERROR(AVERAGE(INDEX(ipopt_output!Q:Q, (ROW()-2)*$U10+2):INDEX(ipopt_output!Q:Q, (ROW()-2)*$U10 + $U10+1)), "")</f>
        <v/>
      </c>
      <c r="R10">
        <f>IFERROR(AVERAGE(INDEX(ipopt_output!R:R, (ROW()-2)*$U10+2):INDEX(ipopt_output!R:R, (ROW()-2)*$U10 + $U10+1)), "")</f>
        <v>122.98500000000001</v>
      </c>
      <c r="S10">
        <f>IFERROR(AVERAGE(INDEX(ipopt_output!S:S, (ROW()-2)*$U10+2):INDEX(ipopt_output!S:S, (ROW()-2)*$U10 + $U10+1)), "")</f>
        <v>20260421</v>
      </c>
      <c r="T10">
        <f>IFERROR(AVERAGE(INDEX(ipopt_output!T:T, (ROW()-2)*$U10+2):INDEX(ipopt_output!T:T, (ROW()-2)*$U10 + $U10+1)), "")</f>
        <v>176172.1</v>
      </c>
      <c r="U10" cm="1">
        <f t="array" ref="U10">COUNTIF(ipopt_output!A:A,INDEX(ipopt_output!A:A,SUM(U$2:U9)+2))</f>
        <v>10</v>
      </c>
    </row>
    <row r="11" spans="1:21" x14ac:dyDescent="0.25">
      <c r="A11" t="str" cm="1">
        <f t="array" ref="A11">INDEX(ipopt_output!A:A, (ROW()-2)*$U11+2)</f>
        <v>spot_jump_twist_rk1_run</v>
      </c>
      <c r="B11" t="str" cm="1">
        <f t="array" ref="B11">INDEX(ipopt_output!B:B, (ROW()-2)*$U11+2)</f>
        <v>Optimal Solution Found.</v>
      </c>
      <c r="C11">
        <f>IFERROR(AVERAGE(INDEX(ipopt_output!C:C, (ROW()-2)*$U11+2):INDEX(ipopt_output!C:C, (ROW()-2)*$U11 + $U11+1)), "")</f>
        <v>3106</v>
      </c>
      <c r="D11">
        <f>IFERROR(AVERAGE(INDEX(ipopt_output!D:D, (ROW()-2)*$U11+2):INDEX(ipopt_output!D:D, (ROW()-2)*$U11 + $U11+1)), "")</f>
        <v>2480</v>
      </c>
      <c r="E11">
        <f>IFERROR(AVERAGE(INDEX(ipopt_output!E:E, (ROW()-2)*$U11+2):INDEX(ipopt_output!E:E, (ROW()-2)*$U11 + $U11+1)), "")</f>
        <v>1080</v>
      </c>
      <c r="F11">
        <f>IFERROR(AVERAGE(INDEX(ipopt_output!F:F, (ROW()-2)*$U11+2):INDEX(ipopt_output!F:F, (ROW()-2)*$U11 + $U11+1)), "")</f>
        <v>146</v>
      </c>
      <c r="G11">
        <f>IFERROR(AVERAGE(INDEX(ipopt_output!G:G, (ROW()-2)*$U11+2):INDEX(ipopt_output!G:G, (ROW()-2)*$U11 + $U11+1)), "")</f>
        <v>14277.068949341028</v>
      </c>
      <c r="H11">
        <f>IFERROR(AVERAGE(INDEX(ipopt_output!H:H, (ROW()-2)*$U11+2):INDEX(ipopt_output!H:H, (ROW()-2)*$U11 + $U11+1)), "")</f>
        <v>1.1096562513301933E-7</v>
      </c>
      <c r="I11">
        <f>IFERROR(AVERAGE(INDEX(ipopt_output!I:I, (ROW()-2)*$U11+2):INDEX(ipopt_output!I:I, (ROW()-2)*$U11 + $U11+1)), "")</f>
        <v>44.006500000000003</v>
      </c>
      <c r="J11">
        <f>IFERROR(AVERAGE(INDEX(ipopt_output!J:J, (ROW()-2)*$U11+2):INDEX(ipopt_output!J:J, (ROW()-2)*$U11 + $U11+1)), "")</f>
        <v>427.70379999999994</v>
      </c>
      <c r="K11" t="str">
        <f>IFERROR(AVERAGE(INDEX(ipopt_output!K:K, (ROW()-2)*$U11+2):INDEX(ipopt_output!K:K, (ROW()-2)*$U11 + $U11+1)), "")</f>
        <v/>
      </c>
      <c r="L11">
        <f>IFERROR(AVERAGE(INDEX(ipopt_output!L:L, (ROW()-2)*$U11+2):INDEX(ipopt_output!L:L, (ROW()-2)*$U11 + $U11+1)), "")</f>
        <v>1.9852428999999858</v>
      </c>
      <c r="M11">
        <f>IFERROR(AVERAGE(INDEX(ipopt_output!M:M, (ROW()-2)*$U11+2):INDEX(ipopt_output!M:M, (ROW()-2)*$U11 + $U11+1)), "")</f>
        <v>477.96299500000003</v>
      </c>
      <c r="N11">
        <f>IFERROR(AVERAGE(INDEX(ipopt_output!N:N, (ROW()-2)*$U11+2):INDEX(ipopt_output!N:N, (ROW()-2)*$U11 + $U11+1)), "")</f>
        <v>288365</v>
      </c>
      <c r="O11">
        <f>IFERROR(AVERAGE(INDEX(ipopt_output!O:O, (ROW()-2)*$U11+2):INDEX(ipopt_output!O:O, (ROW()-2)*$U11 + $U11+1)), "")</f>
        <v>3106</v>
      </c>
      <c r="P11">
        <f>IFERROR(AVERAGE(INDEX(ipopt_output!P:P, (ROW()-2)*$U11+2):INDEX(ipopt_output!P:P, (ROW()-2)*$U11 + $U11+1)), "")</f>
        <v>292349</v>
      </c>
      <c r="Q11">
        <f>IFERROR(AVERAGE(INDEX(ipopt_output!Q:Q, (ROW()-2)*$U11+2):INDEX(ipopt_output!Q:Q, (ROW()-2)*$U11 + $U11+1)), "")</f>
        <v>3560</v>
      </c>
      <c r="R11">
        <f>IFERROR(AVERAGE(INDEX(ipopt_output!R:R, (ROW()-2)*$U11+2):INDEX(ipopt_output!R:R, (ROW()-2)*$U11 + $U11+1)), "")</f>
        <v>479.94830000000002</v>
      </c>
      <c r="S11">
        <f>IFERROR(AVERAGE(INDEX(ipopt_output!S:S, (ROW()-2)*$U11+2):INDEX(ipopt_output!S:S, (ROW()-2)*$U11 + $U11+1)), "")</f>
        <v>20260421</v>
      </c>
      <c r="T11">
        <f>IFERROR(AVERAGE(INDEX(ipopt_output!T:T, (ROW()-2)*$U11+2):INDEX(ipopt_output!T:T, (ROW()-2)*$U11 + $U11+1)), "")</f>
        <v>171437.4</v>
      </c>
      <c r="U11" cm="1">
        <f t="array" ref="U11">COUNTIF(ipopt_output!A:A,INDEX(ipopt_output!A:A,SUM(U$2:U10)+2))</f>
        <v>10</v>
      </c>
    </row>
    <row r="12" spans="1:21" x14ac:dyDescent="0.25">
      <c r="A12" t="str" cm="1">
        <f t="array" ref="A12">INDEX(ipopt_output!A:A, (ROW()-2)*$U12+2)</f>
        <v>spot_jump_twist_rk4_py</v>
      </c>
      <c r="B12" t="str" cm="1">
        <f t="array" ref="B12">INDEX(ipopt_output!B:B, (ROW()-2)*$U12+2)</f>
        <v>Optimal Solution Found.</v>
      </c>
      <c r="C12">
        <f>IFERROR(AVERAGE(INDEX(ipopt_output!C:C, (ROW()-2)*$U12+2):INDEX(ipopt_output!C:C, (ROW()-2)*$U12 + $U12+1)), "")</f>
        <v>3400</v>
      </c>
      <c r="D12">
        <f>IFERROR(AVERAGE(INDEX(ipopt_output!D:D, (ROW()-2)*$U12+2):INDEX(ipopt_output!D:D, (ROW()-2)*$U12 + $U12+1)), "")</f>
        <v>2787</v>
      </c>
      <c r="E12">
        <f>IFERROR(AVERAGE(INDEX(ipopt_output!E:E, (ROW()-2)*$U12+2):INDEX(ipopt_output!E:E, (ROW()-2)*$U12 + $U12+1)), "")</f>
        <v>1180</v>
      </c>
      <c r="F12">
        <f>IFERROR(AVERAGE(INDEX(ipopt_output!F:F, (ROW()-2)*$U12+2):INDEX(ipopt_output!F:F, (ROW()-2)*$U12 + $U12+1)), "")</f>
        <v>330</v>
      </c>
      <c r="G12">
        <f>IFERROR(AVERAGE(INDEX(ipopt_output!G:G, (ROW()-2)*$U12+2):INDEX(ipopt_output!G:G, (ROW()-2)*$U12 + $U12+1)), "")</f>
        <v>13127.37489131594</v>
      </c>
      <c r="H12">
        <f>IFERROR(AVERAGE(INDEX(ipopt_output!H:H, (ROW()-2)*$U12+2):INDEX(ipopt_output!H:H, (ROW()-2)*$U12 + $U12+1)), "")</f>
        <v>1.4127164160715466E-7</v>
      </c>
      <c r="I12">
        <f>IFERROR(AVERAGE(INDEX(ipopt_output!I:I, (ROW()-2)*$U12+2):INDEX(ipopt_output!I:I, (ROW()-2)*$U12 + $U12+1)), "")</f>
        <v>40.471699999999998</v>
      </c>
      <c r="J12">
        <f>IFERROR(AVERAGE(INDEX(ipopt_output!J:J, (ROW()-2)*$U12+2):INDEX(ipopt_output!J:J, (ROW()-2)*$U12 + $U12+1)), "")</f>
        <v>11.1958</v>
      </c>
      <c r="K12">
        <f>IFERROR(AVERAGE(INDEX(ipopt_output!K:K, (ROW()-2)*$U12+2):INDEX(ipopt_output!K:K, (ROW()-2)*$U12 + $U12+1)), "")</f>
        <v>72.4997898668109</v>
      </c>
      <c r="L12" t="str">
        <f>IFERROR(AVERAGE(INDEX(ipopt_output!L:L, (ROW()-2)*$U12+2):INDEX(ipopt_output!L:L, (ROW()-2)*$U12 + $U12+1)), "")</f>
        <v/>
      </c>
      <c r="M12" t="str">
        <f>IFERROR(AVERAGE(INDEX(ipopt_output!M:M, (ROW()-2)*$U12+2):INDEX(ipopt_output!M:M, (ROW()-2)*$U12 + $U12+1)), "")</f>
        <v/>
      </c>
      <c r="N12" t="str">
        <f>IFERROR(AVERAGE(INDEX(ipopt_output!N:N, (ROW()-2)*$U12+2):INDEX(ipopt_output!N:N, (ROW()-2)*$U12 + $U12+1)), "")</f>
        <v/>
      </c>
      <c r="O12" t="str">
        <f>IFERROR(AVERAGE(INDEX(ipopt_output!O:O, (ROW()-2)*$U12+2):INDEX(ipopt_output!O:O, (ROW()-2)*$U12 + $U12+1)), "")</f>
        <v/>
      </c>
      <c r="P12" t="str">
        <f>IFERROR(AVERAGE(INDEX(ipopt_output!P:P, (ROW()-2)*$U12+2):INDEX(ipopt_output!P:P, (ROW()-2)*$U12 + $U12+1)), "")</f>
        <v/>
      </c>
      <c r="Q12" t="str">
        <f>IFERROR(AVERAGE(INDEX(ipopt_output!Q:Q, (ROW()-2)*$U12+2):INDEX(ipopt_output!Q:Q, (ROW()-2)*$U12 + $U12+1)), "")</f>
        <v/>
      </c>
      <c r="R12">
        <f>IFERROR(AVERAGE(INDEX(ipopt_output!R:R, (ROW()-2)*$U12+2):INDEX(ipopt_output!R:R, (ROW()-2)*$U12 + $U12+1)), "")</f>
        <v>72.499780000000015</v>
      </c>
      <c r="S12">
        <f>IFERROR(AVERAGE(INDEX(ipopt_output!S:S, (ROW()-2)*$U12+2):INDEX(ipopt_output!S:S, (ROW()-2)*$U12 + $U12+1)), "")</f>
        <v>20260421</v>
      </c>
      <c r="T12">
        <f>IFERROR(AVERAGE(INDEX(ipopt_output!T:T, (ROW()-2)*$U12+2):INDEX(ipopt_output!T:T, (ROW()-2)*$U12 + $U12+1)), "")</f>
        <v>176172.1</v>
      </c>
      <c r="U12" cm="1">
        <f t="array" ref="U12">COUNTIF(ipopt_output!A:A,INDEX(ipopt_output!A:A,SUM(U$2:U11)+2))</f>
        <v>10</v>
      </c>
    </row>
    <row r="13" spans="1:21" x14ac:dyDescent="0.25">
      <c r="A13" t="str" cm="1">
        <f t="array" ref="A13">INDEX(ipopt_output!A:A, (ROW()-2)*$U13+2)</f>
        <v>spot_jump_twist_rk4_run</v>
      </c>
      <c r="B13" t="str" cm="1">
        <f t="array" ref="B13">INDEX(ipopt_output!B:B, (ROW()-2)*$U13+2)</f>
        <v>Optimal Solution Found.</v>
      </c>
      <c r="C13">
        <f>IFERROR(AVERAGE(INDEX(ipopt_output!C:C, (ROW()-2)*$U13+2):INDEX(ipopt_output!C:C, (ROW()-2)*$U13 + $U13+1)), "")</f>
        <v>12436</v>
      </c>
      <c r="D13">
        <f>IFERROR(AVERAGE(INDEX(ipopt_output!D:D, (ROW()-2)*$U13+2):INDEX(ipopt_output!D:D, (ROW()-2)*$U13 + $U13+1)), "")</f>
        <v>11810</v>
      </c>
      <c r="E13">
        <f>IFERROR(AVERAGE(INDEX(ipopt_output!E:E, (ROW()-2)*$U13+2):INDEX(ipopt_output!E:E, (ROW()-2)*$U13 + $U13+1)), "")</f>
        <v>1080</v>
      </c>
      <c r="F13">
        <f>IFERROR(AVERAGE(INDEX(ipopt_output!F:F, (ROW()-2)*$U13+2):INDEX(ipopt_output!F:F, (ROW()-2)*$U13 + $U13+1)), "")</f>
        <v>137</v>
      </c>
      <c r="G13">
        <f>IFERROR(AVERAGE(INDEX(ipopt_output!G:G, (ROW()-2)*$U13+2):INDEX(ipopt_output!G:G, (ROW()-2)*$U13 + $U13+1)), "")</f>
        <v>14266.778362699126</v>
      </c>
      <c r="H13">
        <f>IFERROR(AVERAGE(INDEX(ipopt_output!H:H, (ROW()-2)*$U13+2):INDEX(ipopt_output!H:H, (ROW()-2)*$U13 + $U13+1)), "")</f>
        <v>3.3877049358643774E-5</v>
      </c>
      <c r="I13">
        <f>IFERROR(AVERAGE(INDEX(ipopt_output!I:I, (ROW()-2)*$U13+2):INDEX(ipopt_output!I:I, (ROW()-2)*$U13 + $U13+1)), "")</f>
        <v>53.652099999999997</v>
      </c>
      <c r="J13">
        <f>IFERROR(AVERAGE(INDEX(ipopt_output!J:J, (ROW()-2)*$U13+2):INDEX(ipopt_output!J:J, (ROW()-2)*$U13 + $U13+1)), "")</f>
        <v>406.85980000000001</v>
      </c>
      <c r="K13" t="str">
        <f>IFERROR(AVERAGE(INDEX(ipopt_output!K:K, (ROW()-2)*$U13+2):INDEX(ipopt_output!K:K, (ROW()-2)*$U13 + $U13+1)), "")</f>
        <v/>
      </c>
      <c r="L13">
        <f>IFERROR(AVERAGE(INDEX(ipopt_output!L:L, (ROW()-2)*$U13+2):INDEX(ipopt_output!L:L, (ROW()-2)*$U13 + $U13+1)), "")</f>
        <v>2.0227251000000082</v>
      </c>
      <c r="M13">
        <f>IFERROR(AVERAGE(INDEX(ipopt_output!M:M, (ROW()-2)*$U13+2):INDEX(ipopt_output!M:M, (ROW()-2)*$U13 + $U13+1)), "")</f>
        <v>469.75484860000006</v>
      </c>
      <c r="N13">
        <f>IFERROR(AVERAGE(INDEX(ipopt_output!N:N, (ROW()-2)*$U13+2):INDEX(ipopt_output!N:N, (ROW()-2)*$U13 + $U13+1)), "")</f>
        <v>309215</v>
      </c>
      <c r="O13">
        <f>IFERROR(AVERAGE(INDEX(ipopt_output!O:O, (ROW()-2)*$U13+2):INDEX(ipopt_output!O:O, (ROW()-2)*$U13 + $U13+1)), "")</f>
        <v>12436</v>
      </c>
      <c r="P13">
        <f>IFERROR(AVERAGE(INDEX(ipopt_output!P:P, (ROW()-2)*$U13+2):INDEX(ipopt_output!P:P, (ROW()-2)*$U13 + $U13+1)), "")</f>
        <v>318599</v>
      </c>
      <c r="Q13">
        <f>IFERROR(AVERAGE(INDEX(ipopt_output!Q:Q, (ROW()-2)*$U13+2):INDEX(ipopt_output!Q:Q, (ROW()-2)*$U13 + $U13+1)), "")</f>
        <v>12890</v>
      </c>
      <c r="R13">
        <f>IFERROR(AVERAGE(INDEX(ipopt_output!R:R, (ROW()-2)*$U13+2):INDEX(ipopt_output!R:R, (ROW()-2)*$U13 + $U13+1)), "")</f>
        <v>471.77750000000003</v>
      </c>
      <c r="S13">
        <f>IFERROR(AVERAGE(INDEX(ipopt_output!S:S, (ROW()-2)*$U13+2):INDEX(ipopt_output!S:S, (ROW()-2)*$U13 + $U13+1)), "")</f>
        <v>20260421</v>
      </c>
      <c r="T13">
        <f>IFERROR(AVERAGE(INDEX(ipopt_output!T:T, (ROW()-2)*$U13+2):INDEX(ipopt_output!T:T, (ROW()-2)*$U13 + $U13+1)), "")</f>
        <v>171437.4</v>
      </c>
      <c r="U13" cm="1">
        <f t="array" ref="U13">COUNTIF(ipopt_output!A:A,INDEX(ipopt_output!A:A,SUM(U$2:U12)+2))</f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E7C0-ABEA-4313-884B-8140DD8DD145}">
  <dimension ref="A1:T13"/>
  <sheetViews>
    <sheetView zoomScale="140" zoomScaleNormal="140" workbookViewId="0">
      <selection activeCell="A5" sqref="A5"/>
    </sheetView>
  </sheetViews>
  <sheetFormatPr defaultRowHeight="15" x14ac:dyDescent="0.25"/>
  <cols>
    <col min="1" max="1" width="24.140625" bestFit="1" customWidth="1"/>
    <col min="2" max="2" width="12" customWidth="1"/>
    <col min="4" max="4" width="19.140625" bestFit="1" customWidth="1"/>
    <col min="5" max="5" width="20.85546875" bestFit="1" customWidth="1"/>
    <col min="6" max="6" width="9.42578125" bestFit="1" customWidth="1"/>
    <col min="7" max="7" width="18.140625" bestFit="1" customWidth="1"/>
    <col min="8" max="8" width="28.140625" bestFit="1" customWidth="1"/>
    <col min="9" max="9" width="14.7109375" bestFit="1" customWidth="1"/>
    <col min="10" max="13" width="13.28515625" bestFit="1" customWidth="1"/>
    <col min="14" max="14" width="5.85546875" bestFit="1" customWidth="1"/>
    <col min="15" max="15" width="6.85546875" bestFit="1" customWidth="1"/>
    <col min="16" max="16" width="6.42578125" bestFit="1" customWidth="1"/>
    <col min="17" max="17" width="7.42578125" bestFit="1" customWidth="1"/>
    <col min="18" max="18" width="13.28515625" bestFit="1" customWidth="1"/>
    <col min="19" max="19" width="8.7109375" bestFit="1" customWidth="1"/>
    <col min="20" max="20" width="13.7109375" bestFit="1" customWidth="1"/>
  </cols>
  <sheetData>
    <row r="1" spans="1:20" x14ac:dyDescent="0.25">
      <c r="A1" t="str">
        <f>ipopt_output!A1</f>
        <v>run</v>
      </c>
      <c r="B1" t="str">
        <f>ipopt_output!B1</f>
        <v>status</v>
      </c>
      <c r="C1" t="str">
        <f>ipopt_output!C1</f>
        <v>variables</v>
      </c>
      <c r="D1" t="str">
        <f>ipopt_output!D1</f>
        <v>equality_constraints</v>
      </c>
      <c r="E1" t="str">
        <f>ipopt_output!E1</f>
        <v>inequality_constraints</v>
      </c>
      <c r="F1" t="str">
        <f>ipopt_output!F1</f>
        <v>iterations</v>
      </c>
      <c r="G1" t="str">
        <f>ipopt_output!G1</f>
        <v>objective_unscaled</v>
      </c>
      <c r="H1" t="str">
        <f>ipopt_output!H1</f>
        <v>constraint_violation_unscaled</v>
      </c>
      <c r="I1" t="str">
        <f>ipopt_output!I1</f>
        <v>ipopt_cpu_secs</v>
      </c>
      <c r="J1" t="str">
        <f>ipopt_output!J1</f>
        <v>nlp_cpu_secs</v>
      </c>
      <c r="K1" t="str">
        <f>ipopt_output!K1</f>
        <v>python_wall</v>
      </c>
      <c r="L1" t="str">
        <f>ipopt_output!L1</f>
        <v>ampl_wall</v>
      </c>
      <c r="M1" t="str">
        <f>ipopt_output!M1</f>
        <v>solve_wall</v>
      </c>
      <c r="N1" t="str">
        <f>ipopt_output!N1</f>
        <v>nvars</v>
      </c>
      <c r="O1" t="str">
        <f>ipopt_output!O1</f>
        <v>snvars</v>
      </c>
      <c r="P1" t="str">
        <f>ipopt_output!P1</f>
        <v>ncons</v>
      </c>
      <c r="Q1" t="str">
        <f>ipopt_output!Q1</f>
        <v>sncons</v>
      </c>
      <c r="R1" t="str">
        <f>ipopt_output!R1</f>
        <v>total_wall</v>
      </c>
      <c r="S1" t="str">
        <f>ipopt_output!S1</f>
        <v>run_date</v>
      </c>
      <c r="T1" t="str">
        <f>ipopt_output!T1</f>
        <v>run_start_time</v>
      </c>
    </row>
    <row r="2" spans="1:20" x14ac:dyDescent="0.25">
      <c r="A2" t="str" cm="1">
        <f t="array" ref="A2">INDEX(ipopt_output!A:A, (ROW()-2)*averages!$U2+2)</f>
        <v>cart_pole_swing_col3_py</v>
      </c>
      <c r="B2" t="str" cm="1">
        <f t="array" ref="B2">INDEX(ipopt_output!B:B, (ROW()-2)*averages!$U2+2)</f>
        <v>Optimal Solution Found.</v>
      </c>
      <c r="C2">
        <f>IFERROR(_xlfn.STDEV.S(INDEX(ipopt_output!C:C, (ROW()-2)*averages!$U2+2):INDEX(ipopt_output!C:C, (ROW()-2)*averages!$U2+averages!$U2+1)), "")</f>
        <v>0</v>
      </c>
      <c r="D2">
        <f>IFERROR(_xlfn.STDEV.S(INDEX(ipopt_output!D:D, (ROW()-2)*averages!$U2+2):INDEX(ipopt_output!D:D, (ROW()-2)*averages!$U2+averages!$U2+1)), "")</f>
        <v>0</v>
      </c>
      <c r="E2">
        <f>IFERROR(_xlfn.STDEV.S(INDEX(ipopt_output!E:E, (ROW()-2)*averages!$U2+2):INDEX(ipopt_output!E:E, (ROW()-2)*averages!$U2+averages!$U2+1)), "")</f>
        <v>0</v>
      </c>
      <c r="F2">
        <f>IFERROR(_xlfn.STDEV.S(INDEX(ipopt_output!F:F, (ROW()-2)*averages!$U2+2):INDEX(ipopt_output!F:F, (ROW()-2)*averages!$U2+averages!$U2+1)), "")</f>
        <v>0</v>
      </c>
      <c r="G2">
        <f>IFERROR(_xlfn.STDEV.S(INDEX(ipopt_output!G:G, (ROW()-2)*averages!$U2+2):INDEX(ipopt_output!G:G, (ROW()-2)*averages!$U2+averages!$U2+1)), "")</f>
        <v>2.396728981215028E-13</v>
      </c>
      <c r="H2">
        <f>IFERROR(_xlfn.STDEV.S(INDEX(ipopt_output!H:H, (ROW()-2)*averages!$U2+2):INDEX(ipopt_output!H:H, (ROW()-2)*averages!$U2+averages!$U2+1)), "")</f>
        <v>0</v>
      </c>
      <c r="I2">
        <f>IFERROR(_xlfn.STDEV.S(INDEX(ipopt_output!I:I, (ROW()-2)*averages!$U2+2):INDEX(ipopt_output!I:I, (ROW()-2)*averages!$U2+averages!$U2+1)), "")</f>
        <v>2.0835066594566042E-2</v>
      </c>
      <c r="J2">
        <f>IFERROR(_xlfn.STDEV.S(INDEX(ipopt_output!J:J, (ROW()-2)*averages!$U2+2):INDEX(ipopt_output!J:J, (ROW()-2)*averages!$U2+averages!$U2+1)), "")</f>
        <v>2.8596814119369578E-3</v>
      </c>
      <c r="K2">
        <f>IFERROR(_xlfn.STDEV.S(INDEX(ipopt_output!K:K, (ROW()-2)*averages!$U2+2):INDEX(ipopt_output!K:K, (ROW()-2)*averages!$U2+averages!$U2+1)), "")</f>
        <v>4.6010577095621799E-2</v>
      </c>
      <c r="L2" t="str">
        <f>IFERROR(_xlfn.STDEV.S(INDEX(ipopt_output!L:L, (ROW()-2)*averages!$U2+2):INDEX(ipopt_output!L:L, (ROW()-2)*averages!$U2+averages!$U2+1)), "")</f>
        <v/>
      </c>
      <c r="M2" t="str">
        <f>IFERROR(_xlfn.STDEV.S(INDEX(ipopt_output!M:M, (ROW()-2)*averages!$U2+2):INDEX(ipopt_output!M:M, (ROW()-2)*averages!$U2+averages!$U2+1)), "")</f>
        <v/>
      </c>
      <c r="N2" t="str">
        <f>IFERROR(_xlfn.STDEV.S(INDEX(ipopt_output!N:N, (ROW()-2)*averages!$U2+2):INDEX(ipopt_output!N:N, (ROW()-2)*averages!$U2+averages!$U2+1)), "")</f>
        <v/>
      </c>
      <c r="O2" t="str">
        <f>IFERROR(_xlfn.STDEV.S(INDEX(ipopt_output!O:O, (ROW()-2)*averages!$U2+2):INDEX(ipopt_output!O:O, (ROW()-2)*averages!$U2+averages!$U2+1)), "")</f>
        <v/>
      </c>
      <c r="P2" t="str">
        <f>IFERROR(_xlfn.STDEV.S(INDEX(ipopt_output!P:P, (ROW()-2)*averages!$U2+2):INDEX(ipopt_output!P:P, (ROW()-2)*averages!$U2+averages!$U2+1)), "")</f>
        <v/>
      </c>
      <c r="Q2" t="str">
        <f>IFERROR(_xlfn.STDEV.S(INDEX(ipopt_output!Q:Q, (ROW()-2)*averages!$U2+2):INDEX(ipopt_output!Q:Q, (ROW()-2)*averages!$U2+averages!$U2+1)), "")</f>
        <v/>
      </c>
      <c r="R2">
        <f>IFERROR(_xlfn.STDEV.S(INDEX(ipopt_output!R:R, (ROW()-2)*averages!$U2+2):INDEX(ipopt_output!R:R, (ROW()-2)*averages!$U2+averages!$U2+1)), "")</f>
        <v>4.600856592949714E-2</v>
      </c>
      <c r="S2">
        <f>IFERROR(_xlfn.STDEV.S(INDEX(ipopt_output!S:S, (ROW()-2)*averages!$U2+2):INDEX(ipopt_output!S:S, (ROW()-2)*averages!$U2+averages!$U2+1)), "")</f>
        <v>0</v>
      </c>
      <c r="T2">
        <f>IFERROR(_xlfn.STDEV.S(INDEX(ipopt_output!T:T, (ROW()-2)*averages!$U2+2):INDEX(ipopt_output!T:T, (ROW()-2)*averages!$U2+averages!$U2+1)), "")</f>
        <v>17112.176434405479</v>
      </c>
    </row>
    <row r="3" spans="1:20" x14ac:dyDescent="0.25">
      <c r="A3" t="str" cm="1">
        <f t="array" ref="A3">INDEX(ipopt_output!A:A, (ROW()-2)*averages!$U3+2)</f>
        <v>cart_pole_swing_col3_run</v>
      </c>
      <c r="B3" t="str" cm="1">
        <f t="array" ref="B3">INDEX(ipopt_output!B:B, (ROW()-2)*averages!$U3+2)</f>
        <v>Optimal Solution Found.</v>
      </c>
      <c r="C3">
        <f>IFERROR(_xlfn.STDEV.S(INDEX(ipopt_output!C:C, (ROW()-2)*averages!$U3+2):INDEX(ipopt_output!C:C, (ROW()-2)*averages!$U3+averages!$U3+1)), "")</f>
        <v>0</v>
      </c>
      <c r="D3">
        <f>IFERROR(_xlfn.STDEV.S(INDEX(ipopt_output!D:D, (ROW()-2)*averages!$U3+2):INDEX(ipopt_output!D:D, (ROW()-2)*averages!$U3+averages!$U3+1)), "")</f>
        <v>0</v>
      </c>
      <c r="E3">
        <f>IFERROR(_xlfn.STDEV.S(INDEX(ipopt_output!E:E, (ROW()-2)*averages!$U3+2):INDEX(ipopt_output!E:E, (ROW()-2)*averages!$U3+averages!$U3+1)), "")</f>
        <v>0</v>
      </c>
      <c r="F3">
        <f>IFERROR(_xlfn.STDEV.S(INDEX(ipopt_output!F:F, (ROW()-2)*averages!$U3+2):INDEX(ipopt_output!F:F, (ROW()-2)*averages!$U3+averages!$U3+1)), "")</f>
        <v>0</v>
      </c>
      <c r="G3">
        <f>IFERROR(_xlfn.STDEV.S(INDEX(ipopt_output!G:G, (ROW()-2)*averages!$U3+2):INDEX(ipopt_output!G:G, (ROW()-2)*averages!$U3+averages!$U3+1)), "")</f>
        <v>2.396728981215028E-13</v>
      </c>
      <c r="H3">
        <f>IFERROR(_xlfn.STDEV.S(INDEX(ipopt_output!H:H, (ROW()-2)*averages!$U3+2):INDEX(ipopt_output!H:H, (ROW()-2)*averages!$U3+averages!$U3+1)), "")</f>
        <v>0</v>
      </c>
      <c r="I3">
        <f>IFERROR(_xlfn.STDEV.S(INDEX(ipopt_output!I:I, (ROW()-2)*averages!$U3+2):INDEX(ipopt_output!I:I, (ROW()-2)*averages!$U3+averages!$U3+1)), "")</f>
        <v>2.1306232786570983E-2</v>
      </c>
      <c r="J3">
        <f>IFERROR(_xlfn.STDEV.S(INDEX(ipopt_output!J:J, (ROW()-2)*averages!$U3+2):INDEX(ipopt_output!J:J, (ROW()-2)*averages!$U3+averages!$U3+1)), "")</f>
        <v>1.8944362984510445E-2</v>
      </c>
      <c r="K3" t="str">
        <f>IFERROR(_xlfn.STDEV.S(INDEX(ipopt_output!K:K, (ROW()-2)*averages!$U3+2):INDEX(ipopt_output!K:K, (ROW()-2)*averages!$U3+averages!$U3+1)), "")</f>
        <v/>
      </c>
      <c r="L3">
        <f>IFERROR(_xlfn.STDEV.S(INDEX(ipopt_output!L:L, (ROW()-2)*averages!$U3+2):INDEX(ipopt_output!L:L, (ROW()-2)*averages!$U3+averages!$U3+1)), "")</f>
        <v>3.3871140600158045E-3</v>
      </c>
      <c r="M3">
        <f>IFERROR(_xlfn.STDEV.S(INDEX(ipopt_output!M:M, (ROW()-2)*averages!$U3+2):INDEX(ipopt_output!M:M, (ROW()-2)*averages!$U3+averages!$U3+1)), "")</f>
        <v>4.4705405907762334E-2</v>
      </c>
      <c r="N3">
        <f>IFERROR(_xlfn.STDEV.S(INDEX(ipopt_output!N:N, (ROW()-2)*averages!$U3+2):INDEX(ipopt_output!N:N, (ROW()-2)*averages!$U3+averages!$U3+1)), "")</f>
        <v>0</v>
      </c>
      <c r="O3">
        <f>IFERROR(_xlfn.STDEV.S(INDEX(ipopt_output!O:O, (ROW()-2)*averages!$U3+2):INDEX(ipopt_output!O:O, (ROW()-2)*averages!$U3+averages!$U3+1)), "")</f>
        <v>0</v>
      </c>
      <c r="P3">
        <f>IFERROR(_xlfn.STDEV.S(INDEX(ipopt_output!P:P, (ROW()-2)*averages!$U3+2):INDEX(ipopt_output!P:P, (ROW()-2)*averages!$U3+averages!$U3+1)), "")</f>
        <v>0</v>
      </c>
      <c r="Q3">
        <f>IFERROR(_xlfn.STDEV.S(INDEX(ipopt_output!Q:Q, (ROW()-2)*averages!$U3+2):INDEX(ipopt_output!Q:Q, (ROW()-2)*averages!$U3+averages!$U3+1)), "")</f>
        <v>0</v>
      </c>
      <c r="R3">
        <f>IFERROR(_xlfn.STDEV.S(INDEX(ipopt_output!R:R, (ROW()-2)*averages!$U3+2):INDEX(ipopt_output!R:R, (ROW()-2)*averages!$U3+averages!$U3+1)), "")</f>
        <v>4.528034654608265E-2</v>
      </c>
      <c r="S3">
        <f>IFERROR(_xlfn.STDEV.S(INDEX(ipopt_output!S:S, (ROW()-2)*averages!$U3+2):INDEX(ipopt_output!S:S, (ROW()-2)*averages!$U3+averages!$U3+1)), "")</f>
        <v>0</v>
      </c>
      <c r="T3">
        <f>IFERROR(_xlfn.STDEV.S(INDEX(ipopt_output!T:T, (ROW()-2)*averages!$U3+2):INDEX(ipopt_output!T:T, (ROW()-2)*averages!$U3+averages!$U3+1)), "")</f>
        <v>17033.750511525315</v>
      </c>
    </row>
    <row r="4" spans="1:20" x14ac:dyDescent="0.25">
      <c r="A4" t="str" cm="1">
        <f t="array" ref="A4">INDEX(ipopt_output!A:A, (ROW()-2)*averages!$U4+2)</f>
        <v>cart_pole_swing_rk1_py</v>
      </c>
      <c r="B4" t="str" cm="1">
        <f t="array" ref="B4">INDEX(ipopt_output!B:B, (ROW()-2)*averages!$U4+2)</f>
        <v>Optimal Solution Found.</v>
      </c>
      <c r="C4">
        <f>IFERROR(_xlfn.STDEV.S(INDEX(ipopt_output!C:C, (ROW()-2)*averages!$U4+2):INDEX(ipopt_output!C:C, (ROW()-2)*averages!$U4+averages!$U4+1)), "")</f>
        <v>0</v>
      </c>
      <c r="D4">
        <f>IFERROR(_xlfn.STDEV.S(INDEX(ipopt_output!D:D, (ROW()-2)*averages!$U4+2):INDEX(ipopt_output!D:D, (ROW()-2)*averages!$U4+averages!$U4+1)), "")</f>
        <v>0</v>
      </c>
      <c r="E4">
        <f>IFERROR(_xlfn.STDEV.S(INDEX(ipopt_output!E:E, (ROW()-2)*averages!$U4+2):INDEX(ipopt_output!E:E, (ROW()-2)*averages!$U4+averages!$U4+1)), "")</f>
        <v>0</v>
      </c>
      <c r="F4">
        <f>IFERROR(_xlfn.STDEV.S(INDEX(ipopt_output!F:F, (ROW()-2)*averages!$U4+2):INDEX(ipopt_output!F:F, (ROW()-2)*averages!$U4+averages!$U4+1)), "")</f>
        <v>0</v>
      </c>
      <c r="G4">
        <f>IFERROR(_xlfn.STDEV.S(INDEX(ipopt_output!G:G, (ROW()-2)*averages!$U4+2):INDEX(ipopt_output!G:G, (ROW()-2)*averages!$U4+averages!$U4+1)), "")</f>
        <v>0</v>
      </c>
      <c r="H4">
        <f>IFERROR(_xlfn.STDEV.S(INDEX(ipopt_output!H:H, (ROW()-2)*averages!$U4+2):INDEX(ipopt_output!H:H, (ROW()-2)*averages!$U4+averages!$U4+1)), "")</f>
        <v>0</v>
      </c>
      <c r="I4">
        <f>IFERROR(_xlfn.STDEV.S(INDEX(ipopt_output!I:I, (ROW()-2)*averages!$U4+2):INDEX(ipopt_output!I:I, (ROW()-2)*averages!$U4+averages!$U4+1)), "")</f>
        <v>1.0285372569279565E-2</v>
      </c>
      <c r="J4">
        <f>IFERROR(_xlfn.STDEV.S(INDEX(ipopt_output!J:J, (ROW()-2)*averages!$U4+2):INDEX(ipopt_output!J:J, (ROW()-2)*averages!$U4+averages!$U4+1)), "")</f>
        <v>2.0575065816014607E-3</v>
      </c>
      <c r="K4">
        <f>IFERROR(_xlfn.STDEV.S(INDEX(ipopt_output!K:K, (ROW()-2)*averages!$U4+2):INDEX(ipopt_output!K:K, (ROW()-2)*averages!$U4+averages!$U4+1)), "")</f>
        <v>2.2027156487589707E-2</v>
      </c>
      <c r="L4" t="str">
        <f>IFERROR(_xlfn.STDEV.S(INDEX(ipopt_output!L:L, (ROW()-2)*averages!$U4+2):INDEX(ipopt_output!L:L, (ROW()-2)*averages!$U4+averages!$U4+1)), "")</f>
        <v/>
      </c>
      <c r="M4" t="str">
        <f>IFERROR(_xlfn.STDEV.S(INDEX(ipopt_output!M:M, (ROW()-2)*averages!$U4+2):INDEX(ipopt_output!M:M, (ROW()-2)*averages!$U4+averages!$U4+1)), "")</f>
        <v/>
      </c>
      <c r="N4" t="str">
        <f>IFERROR(_xlfn.STDEV.S(INDEX(ipopt_output!N:N, (ROW()-2)*averages!$U4+2):INDEX(ipopt_output!N:N, (ROW()-2)*averages!$U4+averages!$U4+1)), "")</f>
        <v/>
      </c>
      <c r="O4" t="str">
        <f>IFERROR(_xlfn.STDEV.S(INDEX(ipopt_output!O:O, (ROW()-2)*averages!$U4+2):INDEX(ipopt_output!O:O, (ROW()-2)*averages!$U4+averages!$U4+1)), "")</f>
        <v/>
      </c>
      <c r="P4" t="str">
        <f>IFERROR(_xlfn.STDEV.S(INDEX(ipopt_output!P:P, (ROW()-2)*averages!$U4+2):INDEX(ipopt_output!P:P, (ROW()-2)*averages!$U4+averages!$U4+1)), "")</f>
        <v/>
      </c>
      <c r="Q4" t="str">
        <f>IFERROR(_xlfn.STDEV.S(INDEX(ipopt_output!Q:Q, (ROW()-2)*averages!$U4+2):INDEX(ipopt_output!Q:Q, (ROW()-2)*averages!$U4+averages!$U4+1)), "")</f>
        <v/>
      </c>
      <c r="R4">
        <f>IFERROR(_xlfn.STDEV.S(INDEX(ipopt_output!R:R, (ROW()-2)*averages!$U4+2):INDEX(ipopt_output!R:R, (ROW()-2)*averages!$U4+averages!$U4+1)), "")</f>
        <v>2.2026817215990768E-2</v>
      </c>
      <c r="S4">
        <f>IFERROR(_xlfn.STDEV.S(INDEX(ipopt_output!S:S, (ROW()-2)*averages!$U4+2):INDEX(ipopt_output!S:S, (ROW()-2)*averages!$U4+averages!$U4+1)), "")</f>
        <v>0</v>
      </c>
      <c r="T4">
        <f>IFERROR(_xlfn.STDEV.S(INDEX(ipopt_output!T:T, (ROW()-2)*averages!$U4+2):INDEX(ipopt_output!T:T, (ROW()-2)*averages!$U4+averages!$U4+1)), "")</f>
        <v>17112.176434405479</v>
      </c>
    </row>
    <row r="5" spans="1:20" x14ac:dyDescent="0.25">
      <c r="A5" t="str" cm="1">
        <f t="array" ref="A5">INDEX(ipopt_output!A:A, (ROW()-2)*averages!$U5+2)</f>
        <v>cart_pole_swing_rk1_run</v>
      </c>
      <c r="B5" t="str" cm="1">
        <f t="array" ref="B5">INDEX(ipopt_output!B:B, (ROW()-2)*averages!$U5+2)</f>
        <v>Optimal Solution Found.</v>
      </c>
      <c r="C5">
        <f>IFERROR(_xlfn.STDEV.S(INDEX(ipopt_output!C:C, (ROW()-2)*averages!$U5+2):INDEX(ipopt_output!C:C, (ROW()-2)*averages!$U5+averages!$U5+1)), "")</f>
        <v>0</v>
      </c>
      <c r="D5">
        <f>IFERROR(_xlfn.STDEV.S(INDEX(ipopt_output!D:D, (ROW()-2)*averages!$U5+2):INDEX(ipopt_output!D:D, (ROW()-2)*averages!$U5+averages!$U5+1)), "")</f>
        <v>0</v>
      </c>
      <c r="E5">
        <f>IFERROR(_xlfn.STDEV.S(INDEX(ipopt_output!E:E, (ROW()-2)*averages!$U5+2):INDEX(ipopt_output!E:E, (ROW()-2)*averages!$U5+averages!$U5+1)), "")</f>
        <v>0</v>
      </c>
      <c r="F5">
        <f>IFERROR(_xlfn.STDEV.S(INDEX(ipopt_output!F:F, (ROW()-2)*averages!$U5+2):INDEX(ipopt_output!F:F, (ROW()-2)*averages!$U5+averages!$U5+1)), "")</f>
        <v>0</v>
      </c>
      <c r="G5">
        <f>IFERROR(_xlfn.STDEV.S(INDEX(ipopt_output!G:G, (ROW()-2)*averages!$U5+2):INDEX(ipopt_output!G:G, (ROW()-2)*averages!$U5+averages!$U5+1)), "")</f>
        <v>0</v>
      </c>
      <c r="H5">
        <f>IFERROR(_xlfn.STDEV.S(INDEX(ipopt_output!H:H, (ROW()-2)*averages!$U5+2):INDEX(ipopt_output!H:H, (ROW()-2)*averages!$U5+averages!$U5+1)), "")</f>
        <v>0</v>
      </c>
      <c r="I5">
        <f>IFERROR(_xlfn.STDEV.S(INDEX(ipopt_output!I:I, (ROW()-2)*averages!$U5+2):INDEX(ipopt_output!I:I, (ROW()-2)*averages!$U5+averages!$U5+1)), "")</f>
        <v>1.3489090241953159E-2</v>
      </c>
      <c r="J5">
        <f>IFERROR(_xlfn.STDEV.S(INDEX(ipopt_output!J:J, (ROW()-2)*averages!$U5+2):INDEX(ipopt_output!J:J, (ROW()-2)*averages!$U5+averages!$U5+1)), "")</f>
        <v>5.6656861896860929E-3</v>
      </c>
      <c r="K5" t="str">
        <f>IFERROR(_xlfn.STDEV.S(INDEX(ipopt_output!K:K, (ROW()-2)*averages!$U5+2):INDEX(ipopt_output!K:K, (ROW()-2)*averages!$U5+averages!$U5+1)), "")</f>
        <v/>
      </c>
      <c r="L5">
        <f>IFERROR(_xlfn.STDEV.S(INDEX(ipopt_output!L:L, (ROW()-2)*averages!$U5+2):INDEX(ipopt_output!L:L, (ROW()-2)*averages!$U5+averages!$U5+1)), "")</f>
        <v>1.2078196333339935E-3</v>
      </c>
      <c r="M5">
        <f>IFERROR(_xlfn.STDEV.S(INDEX(ipopt_output!M:M, (ROW()-2)*averages!$U5+2):INDEX(ipopt_output!M:M, (ROW()-2)*averages!$U5+averages!$U5+1)), "")</f>
        <v>7.4323207631712671E-2</v>
      </c>
      <c r="N5">
        <f>IFERROR(_xlfn.STDEV.S(INDEX(ipopt_output!N:N, (ROW()-2)*averages!$U5+2):INDEX(ipopt_output!N:N, (ROW()-2)*averages!$U5+averages!$U5+1)), "")</f>
        <v>0</v>
      </c>
      <c r="O5">
        <f>IFERROR(_xlfn.STDEV.S(INDEX(ipopt_output!O:O, (ROW()-2)*averages!$U5+2):INDEX(ipopt_output!O:O, (ROW()-2)*averages!$U5+averages!$U5+1)), "")</f>
        <v>0</v>
      </c>
      <c r="P5">
        <f>IFERROR(_xlfn.STDEV.S(INDEX(ipopt_output!P:P, (ROW()-2)*averages!$U5+2):INDEX(ipopt_output!P:P, (ROW()-2)*averages!$U5+averages!$U5+1)), "")</f>
        <v>0</v>
      </c>
      <c r="Q5">
        <f>IFERROR(_xlfn.STDEV.S(INDEX(ipopt_output!Q:Q, (ROW()-2)*averages!$U5+2):INDEX(ipopt_output!Q:Q, (ROW()-2)*averages!$U5+averages!$U5+1)), "")</f>
        <v>0</v>
      </c>
      <c r="R5">
        <f>IFERROR(_xlfn.STDEV.S(INDEX(ipopt_output!R:R, (ROW()-2)*averages!$U5+2):INDEX(ipopt_output!R:R, (ROW()-2)*averages!$U5+averages!$U5+1)), "")</f>
        <v>7.419052392320731E-2</v>
      </c>
      <c r="S5">
        <f>IFERROR(_xlfn.STDEV.S(INDEX(ipopt_output!S:S, (ROW()-2)*averages!$U5+2):INDEX(ipopt_output!S:S, (ROW()-2)*averages!$U5+averages!$U5+1)), "")</f>
        <v>0</v>
      </c>
      <c r="T5">
        <f>IFERROR(_xlfn.STDEV.S(INDEX(ipopt_output!T:T, (ROW()-2)*averages!$U5+2):INDEX(ipopt_output!T:T, (ROW()-2)*averages!$U5+averages!$U5+1)), "")</f>
        <v>17033.750511525315</v>
      </c>
    </row>
    <row r="6" spans="1:20" x14ac:dyDescent="0.25">
      <c r="A6" t="str" cm="1">
        <f t="array" ref="A6">INDEX(ipopt_output!A:A, (ROW()-2)*averages!$U6+2)</f>
        <v>cart_pole_swing_rk4_py</v>
      </c>
      <c r="B6" t="str" cm="1">
        <f t="array" ref="B6">INDEX(ipopt_output!B:B, (ROW()-2)*averages!$U6+2)</f>
        <v>Optimal Solution Found.</v>
      </c>
      <c r="C6">
        <f>IFERROR(_xlfn.STDEV.S(INDEX(ipopt_output!C:C, (ROW()-2)*averages!$U6+2):INDEX(ipopt_output!C:C, (ROW()-2)*averages!$U6+averages!$U6+1)), "")</f>
        <v>0</v>
      </c>
      <c r="D6">
        <f>IFERROR(_xlfn.STDEV.S(INDEX(ipopt_output!D:D, (ROW()-2)*averages!$U6+2):INDEX(ipopt_output!D:D, (ROW()-2)*averages!$U6+averages!$U6+1)), "")</f>
        <v>0</v>
      </c>
      <c r="E6">
        <f>IFERROR(_xlfn.STDEV.S(INDEX(ipopt_output!E:E, (ROW()-2)*averages!$U6+2):INDEX(ipopt_output!E:E, (ROW()-2)*averages!$U6+averages!$U6+1)), "")</f>
        <v>0</v>
      </c>
      <c r="F6">
        <f>IFERROR(_xlfn.STDEV.S(INDEX(ipopt_output!F:F, (ROW()-2)*averages!$U6+2):INDEX(ipopt_output!F:F, (ROW()-2)*averages!$U6+averages!$U6+1)), "")</f>
        <v>0</v>
      </c>
      <c r="G6">
        <f>IFERROR(_xlfn.STDEV.S(INDEX(ipopt_output!G:G, (ROW()-2)*averages!$U6+2):INDEX(ipopt_output!G:G, (ROW()-2)*averages!$U6+averages!$U6+1)), "")</f>
        <v>0</v>
      </c>
      <c r="H6">
        <f>IFERROR(_xlfn.STDEV.S(INDEX(ipopt_output!H:H, (ROW()-2)*averages!$U6+2):INDEX(ipopt_output!H:H, (ROW()-2)*averages!$U6+averages!$U6+1)), "")</f>
        <v>0</v>
      </c>
      <c r="I6">
        <f>IFERROR(_xlfn.STDEV.S(INDEX(ipopt_output!I:I, (ROW()-2)*averages!$U6+2):INDEX(ipopt_output!I:I, (ROW()-2)*averages!$U6+averages!$U6+1)), "")</f>
        <v>1.83290904181183E-2</v>
      </c>
      <c r="J6">
        <f>IFERROR(_xlfn.STDEV.S(INDEX(ipopt_output!J:J, (ROW()-2)*averages!$U6+2):INDEX(ipopt_output!J:J, (ROW()-2)*averages!$U6+averages!$U6+1)), "")</f>
        <v>2.8460498941515386E-3</v>
      </c>
      <c r="K6">
        <f>IFERROR(_xlfn.STDEV.S(INDEX(ipopt_output!K:K, (ROW()-2)*averages!$U6+2):INDEX(ipopt_output!K:K, (ROW()-2)*averages!$U6+averages!$U6+1)), "")</f>
        <v>3.4679010377206644E-2</v>
      </c>
      <c r="L6" t="str">
        <f>IFERROR(_xlfn.STDEV.S(INDEX(ipopt_output!L:L, (ROW()-2)*averages!$U6+2):INDEX(ipopt_output!L:L, (ROW()-2)*averages!$U6+averages!$U6+1)), "")</f>
        <v/>
      </c>
      <c r="M6" t="str">
        <f>IFERROR(_xlfn.STDEV.S(INDEX(ipopt_output!M:M, (ROW()-2)*averages!$U6+2):INDEX(ipopt_output!M:M, (ROW()-2)*averages!$U6+averages!$U6+1)), "")</f>
        <v/>
      </c>
      <c r="N6" t="str">
        <f>IFERROR(_xlfn.STDEV.S(INDEX(ipopt_output!N:N, (ROW()-2)*averages!$U6+2):INDEX(ipopt_output!N:N, (ROW()-2)*averages!$U6+averages!$U6+1)), "")</f>
        <v/>
      </c>
      <c r="O6" t="str">
        <f>IFERROR(_xlfn.STDEV.S(INDEX(ipopt_output!O:O, (ROW()-2)*averages!$U6+2):INDEX(ipopt_output!O:O, (ROW()-2)*averages!$U6+averages!$U6+1)), "")</f>
        <v/>
      </c>
      <c r="P6" t="str">
        <f>IFERROR(_xlfn.STDEV.S(INDEX(ipopt_output!P:P, (ROW()-2)*averages!$U6+2):INDEX(ipopt_output!P:P, (ROW()-2)*averages!$U6+averages!$U6+1)), "")</f>
        <v/>
      </c>
      <c r="Q6" t="str">
        <f>IFERROR(_xlfn.STDEV.S(INDEX(ipopt_output!Q:Q, (ROW()-2)*averages!$U6+2):INDEX(ipopt_output!Q:Q, (ROW()-2)*averages!$U6+averages!$U6+1)), "")</f>
        <v/>
      </c>
      <c r="R6">
        <f>IFERROR(_xlfn.STDEV.S(INDEX(ipopt_output!R:R, (ROW()-2)*averages!$U6+2):INDEX(ipopt_output!R:R, (ROW()-2)*averages!$U6+averages!$U6+1)), "")</f>
        <v>3.4678784116196702E-2</v>
      </c>
      <c r="S6">
        <f>IFERROR(_xlfn.STDEV.S(INDEX(ipopt_output!S:S, (ROW()-2)*averages!$U6+2):INDEX(ipopt_output!S:S, (ROW()-2)*averages!$U6+averages!$U6+1)), "")</f>
        <v>0</v>
      </c>
      <c r="T6">
        <f>IFERROR(_xlfn.STDEV.S(INDEX(ipopt_output!T:T, (ROW()-2)*averages!$U6+2):INDEX(ipopt_output!T:T, (ROW()-2)*averages!$U6+averages!$U6+1)), "")</f>
        <v>17112.176434405479</v>
      </c>
    </row>
    <row r="7" spans="1:20" x14ac:dyDescent="0.25">
      <c r="A7" t="str" cm="1">
        <f t="array" ref="A7">INDEX(ipopt_output!A:A, (ROW()-2)*averages!$U7+2)</f>
        <v>cart_pole_swing_rk4_run</v>
      </c>
      <c r="B7" t="str" cm="1">
        <f t="array" ref="B7">INDEX(ipopt_output!B:B, (ROW()-2)*averages!$U7+2)</f>
        <v>Optimal Solution Found.</v>
      </c>
      <c r="C7">
        <f>IFERROR(_xlfn.STDEV.S(INDEX(ipopt_output!C:C, (ROW()-2)*averages!$U7+2):INDEX(ipopt_output!C:C, (ROW()-2)*averages!$U7+averages!$U7+1)), "")</f>
        <v>0</v>
      </c>
      <c r="D7">
        <f>IFERROR(_xlfn.STDEV.S(INDEX(ipopt_output!D:D, (ROW()-2)*averages!$U7+2):INDEX(ipopt_output!D:D, (ROW()-2)*averages!$U7+averages!$U7+1)), "")</f>
        <v>0</v>
      </c>
      <c r="E7">
        <f>IFERROR(_xlfn.STDEV.S(INDEX(ipopt_output!E:E, (ROW()-2)*averages!$U7+2):INDEX(ipopt_output!E:E, (ROW()-2)*averages!$U7+averages!$U7+1)), "")</f>
        <v>0</v>
      </c>
      <c r="F7">
        <f>IFERROR(_xlfn.STDEV.S(INDEX(ipopt_output!F:F, (ROW()-2)*averages!$U7+2):INDEX(ipopt_output!F:F, (ROW()-2)*averages!$U7+averages!$U7+1)), "")</f>
        <v>0</v>
      </c>
      <c r="G7">
        <f>IFERROR(_xlfn.STDEV.S(INDEX(ipopt_output!G:G, (ROW()-2)*averages!$U7+2):INDEX(ipopt_output!G:G, (ROW()-2)*averages!$U7+averages!$U7+1)), "")</f>
        <v>0</v>
      </c>
      <c r="H7">
        <f>IFERROR(_xlfn.STDEV.S(INDEX(ipopt_output!H:H, (ROW()-2)*averages!$U7+2):INDEX(ipopt_output!H:H, (ROW()-2)*averages!$U7+averages!$U7+1)), "")</f>
        <v>0</v>
      </c>
      <c r="I7">
        <f>IFERROR(_xlfn.STDEV.S(INDEX(ipopt_output!I:I, (ROW()-2)*averages!$U7+2):INDEX(ipopt_output!I:I, (ROW()-2)*averages!$U7+averages!$U7+1)), "")</f>
        <v>7.1230455409029711E-2</v>
      </c>
      <c r="J7">
        <f>IFERROR(_xlfn.STDEV.S(INDEX(ipopt_output!J:J, (ROW()-2)*averages!$U7+2):INDEX(ipopt_output!J:J, (ROW()-2)*averages!$U7+averages!$U7+1)), "")</f>
        <v>1.2730104302618884E-2</v>
      </c>
      <c r="K7" t="str">
        <f>IFERROR(_xlfn.STDEV.S(INDEX(ipopt_output!K:K, (ROW()-2)*averages!$U7+2):INDEX(ipopt_output!K:K, (ROW()-2)*averages!$U7+averages!$U7+1)), "")</f>
        <v/>
      </c>
      <c r="L7">
        <f>IFERROR(_xlfn.STDEV.S(INDEX(ipopt_output!L:L, (ROW()-2)*averages!$U7+2):INDEX(ipopt_output!L:L, (ROW()-2)*averages!$U7+averages!$U7+1)), "")</f>
        <v>3.1633709867795812E-3</v>
      </c>
      <c r="M7">
        <f>IFERROR(_xlfn.STDEV.S(INDEX(ipopt_output!M:M, (ROW()-2)*averages!$U7+2):INDEX(ipopt_output!M:M, (ROW()-2)*averages!$U7+averages!$U7+1)), "")</f>
        <v>9.8062896812255884E-2</v>
      </c>
      <c r="N7">
        <f>IFERROR(_xlfn.STDEV.S(INDEX(ipopt_output!N:N, (ROW()-2)*averages!$U7+2):INDEX(ipopt_output!N:N, (ROW()-2)*averages!$U7+averages!$U7+1)), "")</f>
        <v>0</v>
      </c>
      <c r="O7">
        <f>IFERROR(_xlfn.STDEV.S(INDEX(ipopt_output!O:O, (ROW()-2)*averages!$U7+2):INDEX(ipopt_output!O:O, (ROW()-2)*averages!$U7+averages!$U7+1)), "")</f>
        <v>0</v>
      </c>
      <c r="P7">
        <f>IFERROR(_xlfn.STDEV.S(INDEX(ipopt_output!P:P, (ROW()-2)*averages!$U7+2):INDEX(ipopt_output!P:P, (ROW()-2)*averages!$U7+averages!$U7+1)), "")</f>
        <v>0</v>
      </c>
      <c r="Q7">
        <f>IFERROR(_xlfn.STDEV.S(INDEX(ipopt_output!Q:Q, (ROW()-2)*averages!$U7+2):INDEX(ipopt_output!Q:Q, (ROW()-2)*averages!$U7+averages!$U7+1)), "")</f>
        <v>0</v>
      </c>
      <c r="R7">
        <f>IFERROR(_xlfn.STDEV.S(INDEX(ipopt_output!R:R, (ROW()-2)*averages!$U7+2):INDEX(ipopt_output!R:R, (ROW()-2)*averages!$U7+averages!$U7+1)), "")</f>
        <v>9.8806563350372162E-2</v>
      </c>
      <c r="S7">
        <f>IFERROR(_xlfn.STDEV.S(INDEX(ipopt_output!S:S, (ROW()-2)*averages!$U7+2):INDEX(ipopt_output!S:S, (ROW()-2)*averages!$U7+averages!$U7+1)), "")</f>
        <v>0</v>
      </c>
      <c r="T7">
        <f>IFERROR(_xlfn.STDEV.S(INDEX(ipopt_output!T:T, (ROW()-2)*averages!$U7+2):INDEX(ipopt_output!T:T, (ROW()-2)*averages!$U7+averages!$U7+1)), "")</f>
        <v>17033.750511525315</v>
      </c>
    </row>
    <row r="8" spans="1:20" x14ac:dyDescent="0.25">
      <c r="A8" t="str" cm="1">
        <f t="array" ref="A8">INDEX(ipopt_output!A:A, (ROW()-2)*averages!$U8+2)</f>
        <v>spot_jump_twist_col3_py</v>
      </c>
      <c r="B8" t="str" cm="1">
        <f t="array" ref="B8">INDEX(ipopt_output!B:B, (ROW()-2)*averages!$U8+2)</f>
        <v>Converged to a point of local infeasibility. Problem may be infeasible.</v>
      </c>
      <c r="C8">
        <f>IFERROR(_xlfn.STDEV.S(INDEX(ipopt_output!C:C, (ROW()-2)*averages!$U8+2):INDEX(ipopt_output!C:C, (ROW()-2)*averages!$U8+averages!$U8+1)), "")</f>
        <v>0</v>
      </c>
      <c r="D8">
        <f>IFERROR(_xlfn.STDEV.S(INDEX(ipopt_output!D:D, (ROW()-2)*averages!$U8+2):INDEX(ipopt_output!D:D, (ROW()-2)*averages!$U8+averages!$U8+1)), "")</f>
        <v>0</v>
      </c>
      <c r="E8">
        <f>IFERROR(_xlfn.STDEV.S(INDEX(ipopt_output!E:E, (ROW()-2)*averages!$U8+2):INDEX(ipopt_output!E:E, (ROW()-2)*averages!$U8+averages!$U8+1)), "")</f>
        <v>0</v>
      </c>
      <c r="F8">
        <f>IFERROR(_xlfn.STDEV.S(INDEX(ipopt_output!F:F, (ROW()-2)*averages!$U8+2):INDEX(ipopt_output!F:F, (ROW()-2)*averages!$U8+averages!$U8+1)), "")</f>
        <v>0</v>
      </c>
      <c r="G8">
        <f>IFERROR(_xlfn.STDEV.S(INDEX(ipopt_output!G:G, (ROW()-2)*averages!$U8+2):INDEX(ipopt_output!G:G, (ROW()-2)*averages!$U8+averages!$U8+1)), "")</f>
        <v>0</v>
      </c>
      <c r="H8">
        <f>IFERROR(_xlfn.STDEV.S(INDEX(ipopt_output!H:H, (ROW()-2)*averages!$U8+2):INDEX(ipopt_output!H:H, (ROW()-2)*averages!$U8+averages!$U8+1)), "")</f>
        <v>0</v>
      </c>
      <c r="I8">
        <f>IFERROR(_xlfn.STDEV.S(INDEX(ipopt_output!I:I, (ROW()-2)*averages!$U8+2):INDEX(ipopt_output!I:I, (ROW()-2)*averages!$U8+averages!$U8+1)), "")</f>
        <v>0.80011172136562458</v>
      </c>
      <c r="J8">
        <f>IFERROR(_xlfn.STDEV.S(INDEX(ipopt_output!J:J, (ROW()-2)*averages!$U8+2):INDEX(ipopt_output!J:J, (ROW()-2)*averages!$U8+averages!$U8+1)), "")</f>
        <v>0.24311396504520255</v>
      </c>
      <c r="K8">
        <f>IFERROR(_xlfn.STDEV.S(INDEX(ipopt_output!K:K, (ROW()-2)*averages!$U8+2):INDEX(ipopt_output!K:K, (ROW()-2)*averages!$U8+averages!$U8+1)), "")</f>
        <v>3.9078284092411173</v>
      </c>
      <c r="L8" t="str">
        <f>IFERROR(_xlfn.STDEV.S(INDEX(ipopt_output!L:L, (ROW()-2)*averages!$U8+2):INDEX(ipopt_output!L:L, (ROW()-2)*averages!$U8+averages!$U8+1)), "")</f>
        <v/>
      </c>
      <c r="M8" t="str">
        <f>IFERROR(_xlfn.STDEV.S(INDEX(ipopt_output!M:M, (ROW()-2)*averages!$U8+2):INDEX(ipopt_output!M:M, (ROW()-2)*averages!$U8+averages!$U8+1)), "")</f>
        <v/>
      </c>
      <c r="N8" t="str">
        <f>IFERROR(_xlfn.STDEV.S(INDEX(ipopt_output!N:N, (ROW()-2)*averages!$U8+2):INDEX(ipopt_output!N:N, (ROW()-2)*averages!$U8+averages!$U8+1)), "")</f>
        <v/>
      </c>
      <c r="O8" t="str">
        <f>IFERROR(_xlfn.STDEV.S(INDEX(ipopt_output!O:O, (ROW()-2)*averages!$U8+2):INDEX(ipopt_output!O:O, (ROW()-2)*averages!$U8+averages!$U8+1)), "")</f>
        <v/>
      </c>
      <c r="P8" t="str">
        <f>IFERROR(_xlfn.STDEV.S(INDEX(ipopt_output!P:P, (ROW()-2)*averages!$U8+2):INDEX(ipopt_output!P:P, (ROW()-2)*averages!$U8+averages!$U8+1)), "")</f>
        <v/>
      </c>
      <c r="Q8" t="str">
        <f>IFERROR(_xlfn.STDEV.S(INDEX(ipopt_output!Q:Q, (ROW()-2)*averages!$U8+2):INDEX(ipopt_output!Q:Q, (ROW()-2)*averages!$U8+averages!$U8+1)), "")</f>
        <v/>
      </c>
      <c r="R8">
        <f>IFERROR(_xlfn.STDEV.S(INDEX(ipopt_output!R:R, (ROW()-2)*averages!$U8+2):INDEX(ipopt_output!R:R, (ROW()-2)*averages!$U8+averages!$U8+1)), "")</f>
        <v>3.9077613312767947</v>
      </c>
      <c r="S8">
        <f>IFERROR(_xlfn.STDEV.S(INDEX(ipopt_output!S:S, (ROW()-2)*averages!$U8+2):INDEX(ipopt_output!S:S, (ROW()-2)*averages!$U8+averages!$U8+1)), "")</f>
        <v>0</v>
      </c>
      <c r="T8">
        <f>IFERROR(_xlfn.STDEV.S(INDEX(ipopt_output!T:T, (ROW()-2)*averages!$U8+2):INDEX(ipopt_output!T:T, (ROW()-2)*averages!$U8+averages!$U8+1)), "")</f>
        <v>17112.176434405479</v>
      </c>
    </row>
    <row r="9" spans="1:20" x14ac:dyDescent="0.25">
      <c r="A9" t="str" cm="1">
        <f t="array" ref="A9">INDEX(ipopt_output!A:A, (ROW()-2)*averages!$U9+2)</f>
        <v>spot_jump_twist_col3_run</v>
      </c>
      <c r="B9" t="str" cm="1">
        <f t="array" ref="B9">INDEX(ipopt_output!B:B, (ROW()-2)*averages!$U9+2)</f>
        <v>Optimal Solution Found.</v>
      </c>
      <c r="C9">
        <f>IFERROR(_xlfn.STDEV.S(INDEX(ipopt_output!C:C, (ROW()-2)*averages!$U9+2):INDEX(ipopt_output!C:C, (ROW()-2)*averages!$U9+averages!$U9+1)), "")</f>
        <v>0</v>
      </c>
      <c r="D9">
        <f>IFERROR(_xlfn.STDEV.S(INDEX(ipopt_output!D:D, (ROW()-2)*averages!$U9+2):INDEX(ipopt_output!D:D, (ROW()-2)*averages!$U9+averages!$U9+1)), "")</f>
        <v>0</v>
      </c>
      <c r="E9">
        <f>IFERROR(_xlfn.STDEV.S(INDEX(ipopt_output!E:E, (ROW()-2)*averages!$U9+2):INDEX(ipopt_output!E:E, (ROW()-2)*averages!$U9+averages!$U9+1)), "")</f>
        <v>0</v>
      </c>
      <c r="F9">
        <f>IFERROR(_xlfn.STDEV.S(INDEX(ipopt_output!F:F, (ROW()-2)*averages!$U9+2):INDEX(ipopt_output!F:F, (ROW()-2)*averages!$U9+averages!$U9+1)), "")</f>
        <v>0</v>
      </c>
      <c r="G9">
        <f>IFERROR(_xlfn.STDEV.S(INDEX(ipopt_output!G:G, (ROW()-2)*averages!$U9+2):INDEX(ipopt_output!G:G, (ROW()-2)*averages!$U9+averages!$U9+1)), "")</f>
        <v>0</v>
      </c>
      <c r="H9">
        <f>IFERROR(_xlfn.STDEV.S(INDEX(ipopt_output!H:H, (ROW()-2)*averages!$U9+2):INDEX(ipopt_output!H:H, (ROW()-2)*averages!$U9+averages!$U9+1)), "")</f>
        <v>0</v>
      </c>
      <c r="I9">
        <f>IFERROR(_xlfn.STDEV.S(INDEX(ipopt_output!I:I, (ROW()-2)*averages!$U9+2):INDEX(ipopt_output!I:I, (ROW()-2)*averages!$U9+averages!$U9+1)), "")</f>
        <v>0.27303438936840346</v>
      </c>
      <c r="J9">
        <f>IFERROR(_xlfn.STDEV.S(INDEX(ipopt_output!J:J, (ROW()-2)*averages!$U9+2):INDEX(ipopt_output!J:J, (ROW()-2)*averages!$U9+averages!$U9+1)), "")</f>
        <v>1.2682750709351369</v>
      </c>
      <c r="K9" t="str">
        <f>IFERROR(_xlfn.STDEV.S(INDEX(ipopt_output!K:K, (ROW()-2)*averages!$U9+2):INDEX(ipopt_output!K:K, (ROW()-2)*averages!$U9+averages!$U9+1)), "")</f>
        <v/>
      </c>
      <c r="L9">
        <f>IFERROR(_xlfn.STDEV.S(INDEX(ipopt_output!L:L, (ROW()-2)*averages!$U9+2):INDEX(ipopt_output!L:L, (ROW()-2)*averages!$U9+averages!$U9+1)), "")</f>
        <v>2.3526276370886341E-2</v>
      </c>
      <c r="M9">
        <f>IFERROR(_xlfn.STDEV.S(INDEX(ipopt_output!M:M, (ROW()-2)*averages!$U9+2):INDEX(ipopt_output!M:M, (ROW()-2)*averages!$U9+averages!$U9+1)), "")</f>
        <v>2.0539970452130172</v>
      </c>
      <c r="N9">
        <f>IFERROR(_xlfn.STDEV.S(INDEX(ipopt_output!N:N, (ROW()-2)*averages!$U9+2):INDEX(ipopt_output!N:N, (ROW()-2)*averages!$U9+averages!$U9+1)), "")</f>
        <v>0</v>
      </c>
      <c r="O9">
        <f>IFERROR(_xlfn.STDEV.S(INDEX(ipopt_output!O:O, (ROW()-2)*averages!$U9+2):INDEX(ipopt_output!O:O, (ROW()-2)*averages!$U9+averages!$U9+1)), "")</f>
        <v>0</v>
      </c>
      <c r="P9">
        <f>IFERROR(_xlfn.STDEV.S(INDEX(ipopt_output!P:P, (ROW()-2)*averages!$U9+2):INDEX(ipopt_output!P:P, (ROW()-2)*averages!$U9+averages!$U9+1)), "")</f>
        <v>0</v>
      </c>
      <c r="Q9">
        <f>IFERROR(_xlfn.STDEV.S(INDEX(ipopt_output!Q:Q, (ROW()-2)*averages!$U9+2):INDEX(ipopt_output!Q:Q, (ROW()-2)*averages!$U9+averages!$U9+1)), "")</f>
        <v>0</v>
      </c>
      <c r="R9">
        <f>IFERROR(_xlfn.STDEV.S(INDEX(ipopt_output!R:R, (ROW()-2)*averages!$U9+2):INDEX(ipopt_output!R:R, (ROW()-2)*averages!$U9+averages!$U9+1)), "")</f>
        <v>2.0650491008421259</v>
      </c>
      <c r="S9">
        <f>IFERROR(_xlfn.STDEV.S(INDEX(ipopt_output!S:S, (ROW()-2)*averages!$U9+2):INDEX(ipopt_output!S:S, (ROW()-2)*averages!$U9+averages!$U9+1)), "")</f>
        <v>0</v>
      </c>
      <c r="T9">
        <f>IFERROR(_xlfn.STDEV.S(INDEX(ipopt_output!T:T, (ROW()-2)*averages!$U9+2):INDEX(ipopt_output!T:T, (ROW()-2)*averages!$U9+averages!$U9+1)), "")</f>
        <v>17033.750511525315</v>
      </c>
    </row>
    <row r="10" spans="1:20" x14ac:dyDescent="0.25">
      <c r="A10" t="str" cm="1">
        <f t="array" ref="A10">INDEX(ipopt_output!A:A, (ROW()-2)*averages!$U10+2)</f>
        <v>spot_jump_twist_rk1_py</v>
      </c>
      <c r="B10" t="str" cm="1">
        <f t="array" ref="B10">INDEX(ipopt_output!B:B, (ROW()-2)*averages!$U10+2)</f>
        <v>Converged to a point of local infeasibility. Problem may be infeasible.</v>
      </c>
      <c r="C10">
        <f>IFERROR(_xlfn.STDEV.S(INDEX(ipopt_output!C:C, (ROW()-2)*averages!$U10+2):INDEX(ipopt_output!C:C, (ROW()-2)*averages!$U10+averages!$U10+1)), "")</f>
        <v>0</v>
      </c>
      <c r="D10">
        <f>IFERROR(_xlfn.STDEV.S(INDEX(ipopt_output!D:D, (ROW()-2)*averages!$U10+2):INDEX(ipopt_output!D:D, (ROW()-2)*averages!$U10+averages!$U10+1)), "")</f>
        <v>0</v>
      </c>
      <c r="E10">
        <f>IFERROR(_xlfn.STDEV.S(INDEX(ipopt_output!E:E, (ROW()-2)*averages!$U10+2):INDEX(ipopt_output!E:E, (ROW()-2)*averages!$U10+averages!$U10+1)), "")</f>
        <v>0</v>
      </c>
      <c r="F10">
        <f>IFERROR(_xlfn.STDEV.S(INDEX(ipopt_output!F:F, (ROW()-2)*averages!$U10+2):INDEX(ipopt_output!F:F, (ROW()-2)*averages!$U10+averages!$U10+1)), "")</f>
        <v>0</v>
      </c>
      <c r="G10">
        <f>IFERROR(_xlfn.STDEV.S(INDEX(ipopt_output!G:G, (ROW()-2)*averages!$U10+2):INDEX(ipopt_output!G:G, (ROW()-2)*averages!$U10+averages!$U10+1)), "")</f>
        <v>0</v>
      </c>
      <c r="H10">
        <f>IFERROR(_xlfn.STDEV.S(INDEX(ipopt_output!H:H, (ROW()-2)*averages!$U10+2):INDEX(ipopt_output!H:H, (ROW()-2)*averages!$U10+averages!$U10+1)), "")</f>
        <v>0</v>
      </c>
      <c r="I10">
        <f>IFERROR(_xlfn.STDEV.S(INDEX(ipopt_output!I:I, (ROW()-2)*averages!$U10+2):INDEX(ipopt_output!I:I, (ROW()-2)*averages!$U10+averages!$U10+1)), "")</f>
        <v>0.94302195096402697</v>
      </c>
      <c r="J10">
        <f>IFERROR(_xlfn.STDEV.S(INDEX(ipopt_output!J:J, (ROW()-2)*averages!$U10+2):INDEX(ipopt_output!J:J, (ROW()-2)*averages!$U10+averages!$U10+1)), "")</f>
        <v>0.15191112167609361</v>
      </c>
      <c r="K10">
        <f>IFERROR(_xlfn.STDEV.S(INDEX(ipopt_output!K:K, (ROW()-2)*averages!$U10+2):INDEX(ipopt_output!K:K, (ROW()-2)*averages!$U10+averages!$U10+1)), "")</f>
        <v>2.7661229916191785</v>
      </c>
      <c r="L10" t="str">
        <f>IFERROR(_xlfn.STDEV.S(INDEX(ipopt_output!L:L, (ROW()-2)*averages!$U10+2):INDEX(ipopt_output!L:L, (ROW()-2)*averages!$U10+averages!$U10+1)), "")</f>
        <v/>
      </c>
      <c r="M10" t="str">
        <f>IFERROR(_xlfn.STDEV.S(INDEX(ipopt_output!M:M, (ROW()-2)*averages!$U10+2):INDEX(ipopt_output!M:M, (ROW()-2)*averages!$U10+averages!$U10+1)), "")</f>
        <v/>
      </c>
      <c r="N10" t="str">
        <f>IFERROR(_xlfn.STDEV.S(INDEX(ipopt_output!N:N, (ROW()-2)*averages!$U10+2):INDEX(ipopt_output!N:N, (ROW()-2)*averages!$U10+averages!$U10+1)), "")</f>
        <v/>
      </c>
      <c r="O10" t="str">
        <f>IFERROR(_xlfn.STDEV.S(INDEX(ipopt_output!O:O, (ROW()-2)*averages!$U10+2):INDEX(ipopt_output!O:O, (ROW()-2)*averages!$U10+averages!$U10+1)), "")</f>
        <v/>
      </c>
      <c r="P10" t="str">
        <f>IFERROR(_xlfn.STDEV.S(INDEX(ipopt_output!P:P, (ROW()-2)*averages!$U10+2):INDEX(ipopt_output!P:P, (ROW()-2)*averages!$U10+averages!$U10+1)), "")</f>
        <v/>
      </c>
      <c r="Q10" t="str">
        <f>IFERROR(_xlfn.STDEV.S(INDEX(ipopt_output!Q:Q, (ROW()-2)*averages!$U10+2):INDEX(ipopt_output!Q:Q, (ROW()-2)*averages!$U10+averages!$U10+1)), "")</f>
        <v/>
      </c>
      <c r="R10">
        <f>IFERROR(_xlfn.STDEV.S(INDEX(ipopt_output!R:R, (ROW()-2)*averages!$U10+2):INDEX(ipopt_output!R:R, (ROW()-2)*averages!$U10+averages!$U10+1)), "")</f>
        <v>2.7658680373437896</v>
      </c>
      <c r="S10">
        <f>IFERROR(_xlfn.STDEV.S(INDEX(ipopt_output!S:S, (ROW()-2)*averages!$U10+2):INDEX(ipopt_output!S:S, (ROW()-2)*averages!$U10+averages!$U10+1)), "")</f>
        <v>0</v>
      </c>
      <c r="T10">
        <f>IFERROR(_xlfn.STDEV.S(INDEX(ipopt_output!T:T, (ROW()-2)*averages!$U10+2):INDEX(ipopt_output!T:T, (ROW()-2)*averages!$U10+averages!$U10+1)), "")</f>
        <v>17112.176434405479</v>
      </c>
    </row>
    <row r="11" spans="1:20" x14ac:dyDescent="0.25">
      <c r="A11" t="str" cm="1">
        <f t="array" ref="A11">INDEX(ipopt_output!A:A, (ROW()-2)*averages!$U11+2)</f>
        <v>spot_jump_twist_rk1_run</v>
      </c>
      <c r="B11" t="str" cm="1">
        <f t="array" ref="B11">INDEX(ipopt_output!B:B, (ROW()-2)*averages!$U11+2)</f>
        <v>Optimal Solution Found.</v>
      </c>
      <c r="C11">
        <f>IFERROR(_xlfn.STDEV.S(INDEX(ipopt_output!C:C, (ROW()-2)*averages!$U11+2):INDEX(ipopt_output!C:C, (ROW()-2)*averages!$U11+averages!$U11+1)), "")</f>
        <v>0</v>
      </c>
      <c r="D11">
        <f>IFERROR(_xlfn.STDEV.S(INDEX(ipopt_output!D:D, (ROW()-2)*averages!$U11+2):INDEX(ipopt_output!D:D, (ROW()-2)*averages!$U11+averages!$U11+1)), "")</f>
        <v>0</v>
      </c>
      <c r="E11">
        <f>IFERROR(_xlfn.STDEV.S(INDEX(ipopt_output!E:E, (ROW()-2)*averages!$U11+2):INDEX(ipopt_output!E:E, (ROW()-2)*averages!$U11+averages!$U11+1)), "")</f>
        <v>0</v>
      </c>
      <c r="F11">
        <f>IFERROR(_xlfn.STDEV.S(INDEX(ipopt_output!F:F, (ROW()-2)*averages!$U11+2):INDEX(ipopt_output!F:F, (ROW()-2)*averages!$U11+averages!$U11+1)), "")</f>
        <v>0</v>
      </c>
      <c r="G11">
        <f>IFERROR(_xlfn.STDEV.S(INDEX(ipopt_output!G:G, (ROW()-2)*averages!$U11+2):INDEX(ipopt_output!G:G, (ROW()-2)*averages!$U11+averages!$U11+1)), "")</f>
        <v>0</v>
      </c>
      <c r="H11">
        <f>IFERROR(_xlfn.STDEV.S(INDEX(ipopt_output!H:H, (ROW()-2)*averages!$U11+2):INDEX(ipopt_output!H:H, (ROW()-2)*averages!$U11+averages!$U11+1)), "")</f>
        <v>0</v>
      </c>
      <c r="I11">
        <f>IFERROR(_xlfn.STDEV.S(INDEX(ipopt_output!I:I, (ROW()-2)*averages!$U11+2):INDEX(ipopt_output!I:I, (ROW()-2)*averages!$U11+averages!$U11+1)), "")</f>
        <v>0.21900443932588301</v>
      </c>
      <c r="J11">
        <f>IFERROR(_xlfn.STDEV.S(INDEX(ipopt_output!J:J, (ROW()-2)*averages!$U11+2):INDEX(ipopt_output!J:J, (ROW()-2)*averages!$U11+averages!$U11+1)), "")</f>
        <v>1.1508013439918059</v>
      </c>
      <c r="K11" t="str">
        <f>IFERROR(_xlfn.STDEV.S(INDEX(ipopt_output!K:K, (ROW()-2)*averages!$U11+2):INDEX(ipopt_output!K:K, (ROW()-2)*averages!$U11+averages!$U11+1)), "")</f>
        <v/>
      </c>
      <c r="L11">
        <f>IFERROR(_xlfn.STDEV.S(INDEX(ipopt_output!L:L, (ROW()-2)*averages!$U11+2):INDEX(ipopt_output!L:L, (ROW()-2)*averages!$U11+averages!$U11+1)), "")</f>
        <v>3.3123547164610051E-2</v>
      </c>
      <c r="M11">
        <f>IFERROR(_xlfn.STDEV.S(INDEX(ipopt_output!M:M, (ROW()-2)*averages!$U11+2):INDEX(ipopt_output!M:M, (ROW()-2)*averages!$U11+averages!$U11+1)), "")</f>
        <v>3.4803105512724084</v>
      </c>
      <c r="N11">
        <f>IFERROR(_xlfn.STDEV.S(INDEX(ipopt_output!N:N, (ROW()-2)*averages!$U11+2):INDEX(ipopt_output!N:N, (ROW()-2)*averages!$U11+averages!$U11+1)), "")</f>
        <v>0</v>
      </c>
      <c r="O11">
        <f>IFERROR(_xlfn.STDEV.S(INDEX(ipopt_output!O:O, (ROW()-2)*averages!$U11+2):INDEX(ipopt_output!O:O, (ROW()-2)*averages!$U11+averages!$U11+1)), "")</f>
        <v>0</v>
      </c>
      <c r="P11">
        <f>IFERROR(_xlfn.STDEV.S(INDEX(ipopt_output!P:P, (ROW()-2)*averages!$U11+2):INDEX(ipopt_output!P:P, (ROW()-2)*averages!$U11+averages!$U11+1)), "")</f>
        <v>0</v>
      </c>
      <c r="Q11">
        <f>IFERROR(_xlfn.STDEV.S(INDEX(ipopt_output!Q:Q, (ROW()-2)*averages!$U11+2):INDEX(ipopt_output!Q:Q, (ROW()-2)*averages!$U11+averages!$U11+1)), "")</f>
        <v>0</v>
      </c>
      <c r="R11">
        <f>IFERROR(_xlfn.STDEV.S(INDEX(ipopt_output!R:R, (ROW()-2)*averages!$U11+2):INDEX(ipopt_output!R:R, (ROW()-2)*averages!$U11+averages!$U11+1)), "")</f>
        <v>3.4892174241989187</v>
      </c>
      <c r="S11">
        <f>IFERROR(_xlfn.STDEV.S(INDEX(ipopt_output!S:S, (ROW()-2)*averages!$U11+2):INDEX(ipopt_output!S:S, (ROW()-2)*averages!$U11+averages!$U11+1)), "")</f>
        <v>0</v>
      </c>
      <c r="T11">
        <f>IFERROR(_xlfn.STDEV.S(INDEX(ipopt_output!T:T, (ROW()-2)*averages!$U11+2):INDEX(ipopt_output!T:T, (ROW()-2)*averages!$U11+averages!$U11+1)), "")</f>
        <v>17033.750511525315</v>
      </c>
    </row>
    <row r="12" spans="1:20" x14ac:dyDescent="0.25">
      <c r="A12" t="str" cm="1">
        <f t="array" ref="A12">INDEX(ipopt_output!A:A, (ROW()-2)*averages!$U12+2)</f>
        <v>spot_jump_twist_rk4_py</v>
      </c>
      <c r="B12" t="str" cm="1">
        <f t="array" ref="B12">INDEX(ipopt_output!B:B, (ROW()-2)*averages!$U12+2)</f>
        <v>Optimal Solution Found.</v>
      </c>
      <c r="C12">
        <f>IFERROR(_xlfn.STDEV.S(INDEX(ipopt_output!C:C, (ROW()-2)*averages!$U12+2):INDEX(ipopt_output!C:C, (ROW()-2)*averages!$U12+averages!$U12+1)), "")</f>
        <v>0</v>
      </c>
      <c r="D12">
        <f>IFERROR(_xlfn.STDEV.S(INDEX(ipopt_output!D:D, (ROW()-2)*averages!$U12+2):INDEX(ipopt_output!D:D, (ROW()-2)*averages!$U12+averages!$U12+1)), "")</f>
        <v>0</v>
      </c>
      <c r="E12">
        <f>IFERROR(_xlfn.STDEV.S(INDEX(ipopt_output!E:E, (ROW()-2)*averages!$U12+2):INDEX(ipopt_output!E:E, (ROW()-2)*averages!$U12+averages!$U12+1)), "")</f>
        <v>0</v>
      </c>
      <c r="F12">
        <f>IFERROR(_xlfn.STDEV.S(INDEX(ipopt_output!F:F, (ROW()-2)*averages!$U12+2):INDEX(ipopt_output!F:F, (ROW()-2)*averages!$U12+averages!$U12+1)), "")</f>
        <v>0</v>
      </c>
      <c r="G12">
        <f>IFERROR(_xlfn.STDEV.S(INDEX(ipopt_output!G:G, (ROW()-2)*averages!$U12+2):INDEX(ipopt_output!G:G, (ROW()-2)*averages!$U12+averages!$U12+1)), "")</f>
        <v>1.9173831849720224E-12</v>
      </c>
      <c r="H12">
        <f>IFERROR(_xlfn.STDEV.S(INDEX(ipopt_output!H:H, (ROW()-2)*averages!$U12+2):INDEX(ipopt_output!H:H, (ROW()-2)*averages!$U12+averages!$U12+1)), "")</f>
        <v>0</v>
      </c>
      <c r="I12">
        <f>IFERROR(_xlfn.STDEV.S(INDEX(ipopt_output!I:I, (ROW()-2)*averages!$U12+2):INDEX(ipopt_output!I:I, (ROW()-2)*averages!$U12+averages!$U12+1)), "")</f>
        <v>0.5913237597872173</v>
      </c>
      <c r="J12">
        <f>IFERROR(_xlfn.STDEV.S(INDEX(ipopt_output!J:J, (ROW()-2)*averages!$U12+2):INDEX(ipopt_output!J:J, (ROW()-2)*averages!$U12+averages!$U12+1)), "")</f>
        <v>0.1830463207921853</v>
      </c>
      <c r="K12">
        <f>IFERROR(_xlfn.STDEV.S(INDEX(ipopt_output!K:K, (ROW()-2)*averages!$U12+2):INDEX(ipopt_output!K:K, (ROW()-2)*averages!$U12+averages!$U12+1)), "")</f>
        <v>2.5743408771877823</v>
      </c>
      <c r="L12" t="str">
        <f>IFERROR(_xlfn.STDEV.S(INDEX(ipopt_output!L:L, (ROW()-2)*averages!$U12+2):INDEX(ipopt_output!L:L, (ROW()-2)*averages!$U12+averages!$U12+1)), "")</f>
        <v/>
      </c>
      <c r="M12" t="str">
        <f>IFERROR(_xlfn.STDEV.S(INDEX(ipopt_output!M:M, (ROW()-2)*averages!$U12+2):INDEX(ipopt_output!M:M, (ROW()-2)*averages!$U12+averages!$U12+1)), "")</f>
        <v/>
      </c>
      <c r="N12" t="str">
        <f>IFERROR(_xlfn.STDEV.S(INDEX(ipopt_output!N:N, (ROW()-2)*averages!$U12+2):INDEX(ipopt_output!N:N, (ROW()-2)*averages!$U12+averages!$U12+1)), "")</f>
        <v/>
      </c>
      <c r="O12" t="str">
        <f>IFERROR(_xlfn.STDEV.S(INDEX(ipopt_output!O:O, (ROW()-2)*averages!$U12+2):INDEX(ipopt_output!O:O, (ROW()-2)*averages!$U12+averages!$U12+1)), "")</f>
        <v/>
      </c>
      <c r="P12" t="str">
        <f>IFERROR(_xlfn.STDEV.S(INDEX(ipopt_output!P:P, (ROW()-2)*averages!$U12+2):INDEX(ipopt_output!P:P, (ROW()-2)*averages!$U12+averages!$U12+1)), "")</f>
        <v/>
      </c>
      <c r="Q12" t="str">
        <f>IFERROR(_xlfn.STDEV.S(INDEX(ipopt_output!Q:Q, (ROW()-2)*averages!$U12+2):INDEX(ipopt_output!Q:Q, (ROW()-2)*averages!$U12+averages!$U12+1)), "")</f>
        <v/>
      </c>
      <c r="R12">
        <f>IFERROR(_xlfn.STDEV.S(INDEX(ipopt_output!R:R, (ROW()-2)*averages!$U12+2):INDEX(ipopt_output!R:R, (ROW()-2)*averages!$U12+averages!$U12+1)), "")</f>
        <v>2.5743500848865848</v>
      </c>
      <c r="S12">
        <f>IFERROR(_xlfn.STDEV.S(INDEX(ipopt_output!S:S, (ROW()-2)*averages!$U12+2):INDEX(ipopt_output!S:S, (ROW()-2)*averages!$U12+averages!$U12+1)), "")</f>
        <v>0</v>
      </c>
      <c r="T12">
        <f>IFERROR(_xlfn.STDEV.S(INDEX(ipopt_output!T:T, (ROW()-2)*averages!$U12+2):INDEX(ipopt_output!T:T, (ROW()-2)*averages!$U12+averages!$U12+1)), "")</f>
        <v>17112.176434405479</v>
      </c>
    </row>
    <row r="13" spans="1:20" x14ac:dyDescent="0.25">
      <c r="A13" t="str" cm="1">
        <f t="array" ref="A13">INDEX(ipopt_output!A:A, (ROW()-2)*averages!$U13+2)</f>
        <v>spot_jump_twist_rk4_run</v>
      </c>
      <c r="B13" t="str" cm="1">
        <f t="array" ref="B13">INDEX(ipopt_output!B:B, (ROW()-2)*averages!$U13+2)</f>
        <v>Optimal Solution Found.</v>
      </c>
      <c r="C13">
        <f>IFERROR(_xlfn.STDEV.S(INDEX(ipopt_output!C:C, (ROW()-2)*averages!$U13+2):INDEX(ipopt_output!C:C, (ROW()-2)*averages!$U13+averages!$U13+1)), "")</f>
        <v>0</v>
      </c>
      <c r="D13">
        <f>IFERROR(_xlfn.STDEV.S(INDEX(ipopt_output!D:D, (ROW()-2)*averages!$U13+2):INDEX(ipopt_output!D:D, (ROW()-2)*averages!$U13+averages!$U13+1)), "")</f>
        <v>0</v>
      </c>
      <c r="E13">
        <f>IFERROR(_xlfn.STDEV.S(INDEX(ipopt_output!E:E, (ROW()-2)*averages!$U13+2):INDEX(ipopt_output!E:E, (ROW()-2)*averages!$U13+averages!$U13+1)), "")</f>
        <v>0</v>
      </c>
      <c r="F13">
        <f>IFERROR(_xlfn.STDEV.S(INDEX(ipopt_output!F:F, (ROW()-2)*averages!$U13+2):INDEX(ipopt_output!F:F, (ROW()-2)*averages!$U13+averages!$U13+1)), "")</f>
        <v>0</v>
      </c>
      <c r="G13">
        <f>IFERROR(_xlfn.STDEV.S(INDEX(ipopt_output!G:G, (ROW()-2)*averages!$U13+2):INDEX(ipopt_output!G:G, (ROW()-2)*averages!$U13+averages!$U13+1)), "")</f>
        <v>1.9173831849720224E-12</v>
      </c>
      <c r="H13">
        <f>IFERROR(_xlfn.STDEV.S(INDEX(ipopt_output!H:H, (ROW()-2)*averages!$U13+2):INDEX(ipopt_output!H:H, (ROW()-2)*averages!$U13+averages!$U13+1)), "")</f>
        <v>0</v>
      </c>
      <c r="I13">
        <f>IFERROR(_xlfn.STDEV.S(INDEX(ipopt_output!I:I, (ROW()-2)*averages!$U13+2):INDEX(ipopt_output!I:I, (ROW()-2)*averages!$U13+averages!$U13+1)), "")</f>
        <v>0.21797984106589186</v>
      </c>
      <c r="J13">
        <f>IFERROR(_xlfn.STDEV.S(INDEX(ipopt_output!J:J, (ROW()-2)*averages!$U13+2):INDEX(ipopt_output!J:J, (ROW()-2)*averages!$U13+averages!$U13+1)), "")</f>
        <v>0.74123407608903258</v>
      </c>
      <c r="K13" t="str">
        <f>IFERROR(_xlfn.STDEV.S(INDEX(ipopt_output!K:K, (ROW()-2)*averages!$U13+2):INDEX(ipopt_output!K:K, (ROW()-2)*averages!$U13+averages!$U13+1)), "")</f>
        <v/>
      </c>
      <c r="L13">
        <f>IFERROR(_xlfn.STDEV.S(INDEX(ipopt_output!L:L, (ROW()-2)*averages!$U13+2):INDEX(ipopt_output!L:L, (ROW()-2)*averages!$U13+averages!$U13+1)), "")</f>
        <v>3.8830432774226945E-2</v>
      </c>
      <c r="M13">
        <f>IFERROR(_xlfn.STDEV.S(INDEX(ipopt_output!M:M, (ROW()-2)*averages!$U13+2):INDEX(ipopt_output!M:M, (ROW()-2)*averages!$U13+averages!$U13+1)), "")</f>
        <v>3.5796652559967166</v>
      </c>
      <c r="N13">
        <f>IFERROR(_xlfn.STDEV.S(INDEX(ipopt_output!N:N, (ROW()-2)*averages!$U13+2):INDEX(ipopt_output!N:N, (ROW()-2)*averages!$U13+averages!$U13+1)), "")</f>
        <v>0</v>
      </c>
      <c r="O13">
        <f>IFERROR(_xlfn.STDEV.S(INDEX(ipopt_output!O:O, (ROW()-2)*averages!$U13+2):INDEX(ipopt_output!O:O, (ROW()-2)*averages!$U13+averages!$U13+1)), "")</f>
        <v>0</v>
      </c>
      <c r="P13">
        <f>IFERROR(_xlfn.STDEV.S(INDEX(ipopt_output!P:P, (ROW()-2)*averages!$U13+2):INDEX(ipopt_output!P:P, (ROW()-2)*averages!$U13+averages!$U13+1)), "")</f>
        <v>0</v>
      </c>
      <c r="Q13">
        <f>IFERROR(_xlfn.STDEV.S(INDEX(ipopt_output!Q:Q, (ROW()-2)*averages!$U13+2):INDEX(ipopt_output!Q:Q, (ROW()-2)*averages!$U13+averages!$U13+1)), "")</f>
        <v>0</v>
      </c>
      <c r="R13">
        <f>IFERROR(_xlfn.STDEV.S(INDEX(ipopt_output!R:R, (ROW()-2)*averages!$U13+2):INDEX(ipopt_output!R:R, (ROW()-2)*averages!$U13+averages!$U13+1)), "")</f>
        <v>3.5681497617423905</v>
      </c>
      <c r="S13">
        <f>IFERROR(_xlfn.STDEV.S(INDEX(ipopt_output!S:S, (ROW()-2)*averages!$U13+2):INDEX(ipopt_output!S:S, (ROW()-2)*averages!$U13+averages!$U13+1)), "")</f>
        <v>0</v>
      </c>
      <c r="T13">
        <f>IFERROR(_xlfn.STDEV.S(INDEX(ipopt_output!T:T, (ROW()-2)*averages!$U13+2):INDEX(ipopt_output!T:T, (ROW()-2)*averages!$U13+averages!$U13+1)), "")</f>
        <v>17033.750511525315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3F5E-D816-42EF-BB38-36F4137B25B1}">
  <dimension ref="A1:A2"/>
  <sheetViews>
    <sheetView workbookViewId="0">
      <selection activeCell="A2" sqref="A2"/>
    </sheetView>
  </sheetViews>
  <sheetFormatPr defaultRowHeight="15" x14ac:dyDescent="0.25"/>
  <cols>
    <col min="1" max="1" width="79.42578125" bestFit="1" customWidth="1"/>
  </cols>
  <sheetData>
    <row r="1" spans="1:1" ht="30" x14ac:dyDescent="0.25">
      <c r="A1" s="1" t="s">
        <v>1</v>
      </c>
    </row>
    <row r="2" spans="1:1" x14ac:dyDescent="0.25">
      <c r="A2" t="str" cm="1">
        <f t="array" aca="1" ref="A2" ca="1">LEFT(CELL("filename"),FIND("[",CELL("filename"))-1)</f>
        <v>C:\Users\nr\Documents\Sync\IIT\Research Papers\MECC 2026\repo\docker\ipopt_runs\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08364-2C97-4E78-971E-767024B05A5B}">
  <dimension ref="A1:K13"/>
  <sheetViews>
    <sheetView tabSelected="1" zoomScale="230" zoomScaleNormal="230" workbookViewId="0"/>
  </sheetViews>
  <sheetFormatPr defaultRowHeight="15" x14ac:dyDescent="0.25"/>
  <cols>
    <col min="1" max="1" width="15.140625" bestFit="1" customWidth="1"/>
    <col min="2" max="2" width="5.7109375" bestFit="1" customWidth="1"/>
    <col min="3" max="3" width="5" bestFit="1" customWidth="1"/>
    <col min="4" max="4" width="12.5703125" bestFit="1" customWidth="1"/>
    <col min="5" max="5" width="10.42578125" bestFit="1" customWidth="1"/>
    <col min="6" max="6" width="9.42578125" bestFit="1" customWidth="1"/>
    <col min="7" max="7" width="10.42578125" bestFit="1" customWidth="1"/>
    <col min="8" max="8" width="9.42578125" bestFit="1" customWidth="1"/>
    <col min="9" max="9" width="10.42578125" bestFit="1" customWidth="1"/>
    <col min="10" max="10" width="12.140625" bestFit="1" customWidth="1"/>
    <col min="11" max="11" width="12.5703125" bestFit="1" customWidth="1"/>
  </cols>
  <sheetData>
    <row r="1" spans="1:11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</row>
    <row r="2" spans="1:11" x14ac:dyDescent="0.25">
      <c r="A2" s="3" t="s">
        <v>13</v>
      </c>
      <c r="B2" s="3" t="s">
        <v>14</v>
      </c>
      <c r="C2" t="s">
        <v>15</v>
      </c>
      <c r="D2">
        <f>averages!G2</f>
        <v>1583.3389991627662</v>
      </c>
      <c r="E2">
        <f>averages!R2</f>
        <v>2.0234649999999998</v>
      </c>
      <c r="F2">
        <f>averages!F2</f>
        <v>371</v>
      </c>
      <c r="G2">
        <f>averages!J2</f>
        <v>0.14619999999999997</v>
      </c>
      <c r="H2">
        <f>averages!C2</f>
        <v>900</v>
      </c>
      <c r="I2">
        <f>averages!D2</f>
        <v>853</v>
      </c>
      <c r="J2">
        <f>averages!E2</f>
        <v>50</v>
      </c>
    </row>
    <row r="3" spans="1:11" x14ac:dyDescent="0.25">
      <c r="A3" s="3"/>
      <c r="B3" s="3"/>
      <c r="C3" t="s">
        <v>16</v>
      </c>
      <c r="D3">
        <f>averages!G3</f>
        <v>1921.3975853618253</v>
      </c>
      <c r="E3">
        <f>averages!R3</f>
        <v>4.2429250000000005</v>
      </c>
      <c r="F3">
        <f>averages!F3</f>
        <v>409</v>
      </c>
      <c r="G3">
        <f>averages!J3</f>
        <v>0.75600000000000001</v>
      </c>
      <c r="H3">
        <f>averages!C3</f>
        <v>1197</v>
      </c>
      <c r="I3">
        <f>averages!D3</f>
        <v>1150</v>
      </c>
      <c r="J3">
        <f>averages!E3</f>
        <v>50</v>
      </c>
      <c r="K3">
        <f>(averages!N3-averages!O3)/averages!N3</f>
        <v>0.93745754741627041</v>
      </c>
    </row>
    <row r="4" spans="1:11" x14ac:dyDescent="0.25">
      <c r="A4" s="3"/>
      <c r="B4" s="3" t="s">
        <v>17</v>
      </c>
      <c r="C4" t="s">
        <v>15</v>
      </c>
      <c r="D4">
        <f>averages!G4</f>
        <v>1583.3389991627485</v>
      </c>
      <c r="E4">
        <f>averages!R4</f>
        <v>1.2047789999999998</v>
      </c>
      <c r="F4">
        <f>averages!F4</f>
        <v>371</v>
      </c>
      <c r="G4">
        <f>averages!J4</f>
        <v>8.8299999999999976E-2</v>
      </c>
      <c r="H4">
        <f>averages!C4</f>
        <v>300</v>
      </c>
      <c r="I4">
        <f>averages!D4</f>
        <v>253</v>
      </c>
      <c r="J4">
        <f>averages!E4</f>
        <v>50</v>
      </c>
    </row>
    <row r="5" spans="1:11" x14ac:dyDescent="0.25">
      <c r="A5" s="3"/>
      <c r="B5" s="3"/>
      <c r="C5" t="s">
        <v>16</v>
      </c>
      <c r="D5">
        <f>averages!G5</f>
        <v>1583.3389991627482</v>
      </c>
      <c r="E5">
        <f>averages!R5</f>
        <v>2.0358019999999999</v>
      </c>
      <c r="F5">
        <f>averages!F5</f>
        <v>371</v>
      </c>
      <c r="G5">
        <f>averages!J5</f>
        <v>0.57389999999999997</v>
      </c>
      <c r="H5">
        <f>averages!C5</f>
        <v>295</v>
      </c>
      <c r="I5">
        <f>averages!D5</f>
        <v>248</v>
      </c>
      <c r="J5">
        <f>averages!E5</f>
        <v>50</v>
      </c>
      <c r="K5">
        <f>(averages!N5-averages!O5)/averages!N5</f>
        <v>0.98253300965125234</v>
      </c>
    </row>
    <row r="6" spans="1:11" x14ac:dyDescent="0.25">
      <c r="A6" s="3"/>
      <c r="B6" s="3" t="s">
        <v>18</v>
      </c>
      <c r="C6" t="s">
        <v>15</v>
      </c>
      <c r="D6">
        <f>averages!G6</f>
        <v>1921.397585361809</v>
      </c>
      <c r="E6">
        <f>averages!R6</f>
        <v>1.287933</v>
      </c>
      <c r="F6">
        <f>averages!F6</f>
        <v>411</v>
      </c>
      <c r="G6">
        <f>averages!J6</f>
        <v>0.10389999999999999</v>
      </c>
      <c r="H6">
        <f>averages!C6</f>
        <v>300</v>
      </c>
      <c r="I6">
        <f>averages!D6</f>
        <v>253</v>
      </c>
      <c r="J6">
        <f>averages!E6</f>
        <v>50</v>
      </c>
    </row>
    <row r="7" spans="1:11" x14ac:dyDescent="0.25">
      <c r="A7" s="3"/>
      <c r="B7" s="3"/>
      <c r="C7" t="s">
        <v>16</v>
      </c>
      <c r="D7">
        <f>averages!G7</f>
        <v>1921.397585361826</v>
      </c>
      <c r="E7">
        <f>averages!R7</f>
        <v>4.5171549999999998</v>
      </c>
      <c r="F7">
        <f>averages!F7</f>
        <v>409</v>
      </c>
      <c r="G7">
        <f>averages!J7</f>
        <v>0.73550000000000004</v>
      </c>
      <c r="H7">
        <f>averages!C7</f>
        <v>1195</v>
      </c>
      <c r="I7">
        <f>averages!D7</f>
        <v>1148</v>
      </c>
      <c r="J7">
        <f>averages!E7</f>
        <v>50</v>
      </c>
      <c r="K7">
        <f>(averages!N7-averages!O7)/averages!N7</f>
        <v>0.93756204608391247</v>
      </c>
    </row>
    <row r="8" spans="1:11" x14ac:dyDescent="0.25">
      <c r="A8" s="3" t="s">
        <v>19</v>
      </c>
      <c r="B8" s="3" t="s">
        <v>14</v>
      </c>
      <c r="C8" t="s">
        <v>15</v>
      </c>
      <c r="D8" s="2" t="s">
        <v>20</v>
      </c>
      <c r="E8" s="2" t="s">
        <v>20</v>
      </c>
      <c r="F8" s="2" t="s">
        <v>20</v>
      </c>
      <c r="G8" s="2" t="s">
        <v>20</v>
      </c>
      <c r="H8" s="2" t="s">
        <v>20</v>
      </c>
      <c r="I8" s="2" t="s">
        <v>20</v>
      </c>
      <c r="J8" s="2" t="s">
        <v>20</v>
      </c>
    </row>
    <row r="9" spans="1:11" x14ac:dyDescent="0.25">
      <c r="A9" s="3"/>
      <c r="B9" s="3"/>
      <c r="C9" t="s">
        <v>16</v>
      </c>
      <c r="D9">
        <f>averages!G9</f>
        <v>14173.050169495978</v>
      </c>
      <c r="E9">
        <f>averages!R9</f>
        <v>671.52569999999992</v>
      </c>
      <c r="F9">
        <f>averages!F9</f>
        <v>200</v>
      </c>
      <c r="G9">
        <f>averages!J9</f>
        <v>591.96690000000012</v>
      </c>
      <c r="H9">
        <f>averages!C9</f>
        <v>12454</v>
      </c>
      <c r="I9">
        <f>averages!D9</f>
        <v>11828</v>
      </c>
      <c r="J9">
        <f>averages!E9</f>
        <v>1080</v>
      </c>
      <c r="K9">
        <f>(averages!N9-averages!O9)/averages!N9</f>
        <v>0.95972381676180007</v>
      </c>
    </row>
    <row r="10" spans="1:11" x14ac:dyDescent="0.25">
      <c r="A10" s="3"/>
      <c r="B10" s="3" t="s">
        <v>17</v>
      </c>
      <c r="C10" t="s">
        <v>15</v>
      </c>
      <c r="D10" s="2" t="s">
        <v>20</v>
      </c>
      <c r="E10" s="2" t="s">
        <v>20</v>
      </c>
      <c r="F10" s="2" t="s">
        <v>20</v>
      </c>
      <c r="G10" s="2" t="s">
        <v>20</v>
      </c>
      <c r="H10" s="2" t="s">
        <v>20</v>
      </c>
      <c r="I10" s="2" t="s">
        <v>20</v>
      </c>
      <c r="J10" s="2" t="s">
        <v>20</v>
      </c>
    </row>
    <row r="11" spans="1:11" x14ac:dyDescent="0.25">
      <c r="A11" s="3"/>
      <c r="B11" s="3"/>
      <c r="C11" t="s">
        <v>16</v>
      </c>
      <c r="D11">
        <f>averages!G11</f>
        <v>14277.068949341028</v>
      </c>
      <c r="E11">
        <f>averages!R11</f>
        <v>479.94830000000002</v>
      </c>
      <c r="F11">
        <f>averages!F11</f>
        <v>146</v>
      </c>
      <c r="G11">
        <f>averages!J11</f>
        <v>427.70379999999994</v>
      </c>
      <c r="H11">
        <f>averages!C11</f>
        <v>3106</v>
      </c>
      <c r="I11">
        <f>averages!D11</f>
        <v>2480</v>
      </c>
      <c r="J11">
        <f>averages!E11</f>
        <v>1080</v>
      </c>
      <c r="K11">
        <f>(averages!N11-averages!O11)/averages!N11</f>
        <v>0.9892289286147764</v>
      </c>
    </row>
    <row r="12" spans="1:11" x14ac:dyDescent="0.25">
      <c r="A12" s="3"/>
      <c r="B12" s="3" t="s">
        <v>18</v>
      </c>
      <c r="C12" t="s">
        <v>15</v>
      </c>
      <c r="D12">
        <f>averages!G12</f>
        <v>13127.37489131594</v>
      </c>
      <c r="E12">
        <f>averages!R12</f>
        <v>72.499780000000015</v>
      </c>
      <c r="F12">
        <f>averages!F12</f>
        <v>330</v>
      </c>
      <c r="G12">
        <f>averages!J12</f>
        <v>11.1958</v>
      </c>
      <c r="H12">
        <f>averages!C12</f>
        <v>3400</v>
      </c>
      <c r="I12">
        <f>averages!D12</f>
        <v>2787</v>
      </c>
      <c r="J12">
        <f>averages!E12</f>
        <v>1180</v>
      </c>
    </row>
    <row r="13" spans="1:11" x14ac:dyDescent="0.25">
      <c r="A13" s="3"/>
      <c r="B13" s="3"/>
      <c r="C13" t="s">
        <v>16</v>
      </c>
      <c r="D13">
        <f>averages!G13</f>
        <v>14266.778362699126</v>
      </c>
      <c r="E13">
        <f>averages!R13</f>
        <v>471.77750000000003</v>
      </c>
      <c r="F13">
        <f>averages!F13</f>
        <v>137</v>
      </c>
      <c r="G13">
        <f>averages!J13</f>
        <v>406.85980000000001</v>
      </c>
      <c r="H13">
        <f>averages!C13</f>
        <v>12436</v>
      </c>
      <c r="I13">
        <f>averages!D13</f>
        <v>11810</v>
      </c>
      <c r="J13">
        <f>averages!E13</f>
        <v>1080</v>
      </c>
      <c r="K13">
        <f>(averages!N13-averages!O13)/averages!N13</f>
        <v>0.95978202868554241</v>
      </c>
    </row>
  </sheetData>
  <mergeCells count="8">
    <mergeCell ref="A2:A7"/>
    <mergeCell ref="B2:B3"/>
    <mergeCell ref="B4:B5"/>
    <mergeCell ref="B6:B7"/>
    <mergeCell ref="A8:A13"/>
    <mergeCell ref="B8:B9"/>
    <mergeCell ref="B10:B11"/>
    <mergeCell ref="B12:B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D44D66-A883-4D6B-A2F1-938F4E6209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ipopt_output</vt:lpstr>
      <vt:lpstr>averages</vt:lpstr>
      <vt:lpstr>std. dev</vt:lpstr>
      <vt:lpstr>csv</vt:lpstr>
      <vt:lpstr>paper_table</vt:lpstr>
      <vt:lpstr>CSVPath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Rosa</cp:lastModifiedBy>
  <dcterms:created xsi:type="dcterms:W3CDTF">2026-04-25T03:22:11Z</dcterms:created>
  <dcterms:modified xsi:type="dcterms:W3CDTF">2026-04-26T19:23:45Z</dcterms:modified>
</cp:coreProperties>
</file>