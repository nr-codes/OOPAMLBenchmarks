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r\Documents\Sync\IIT\Research Papers\MECC 2026\docker\ipopt_runs\"/>
    </mc:Choice>
  </mc:AlternateContent>
  <xr:revisionPtr revIDLastSave="0" documentId="13_ncr:1_{61F7BEF1-9458-4817-89FF-FBA527E9650D}" xr6:coauthVersionLast="47" xr6:coauthVersionMax="47" xr10:uidLastSave="{00000000-0000-0000-0000-000000000000}"/>
  <bookViews>
    <workbookView xWindow="-120" yWindow="-120" windowWidth="51840" windowHeight="21120" activeTab="1" xr2:uid="{8444FB02-C888-4CE0-A7F3-373684849F40}"/>
  </bookViews>
  <sheets>
    <sheet name="ipopt_output" sheetId="1" r:id="rId1"/>
    <sheet name="paper 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9" i="2"/>
  <c r="G11" i="2"/>
  <c r="G12" i="2"/>
  <c r="G13" i="2"/>
  <c r="G14" i="2"/>
  <c r="G15" i="2"/>
  <c r="G16" i="2"/>
  <c r="G17" i="2"/>
  <c r="G18" i="2"/>
  <c r="G19" i="2"/>
  <c r="G2" i="2"/>
  <c r="K3" i="2"/>
  <c r="K5" i="2"/>
  <c r="K7" i="2"/>
  <c r="K9" i="2"/>
  <c r="K11" i="2"/>
  <c r="K13" i="2"/>
  <c r="K15" i="2"/>
  <c r="K17" i="2"/>
  <c r="K19" i="2"/>
  <c r="J3" i="2"/>
  <c r="J4" i="2"/>
  <c r="J5" i="2"/>
  <c r="J6" i="2"/>
  <c r="J7" i="2"/>
  <c r="J9" i="2"/>
  <c r="J11" i="2"/>
  <c r="J12" i="2"/>
  <c r="J13" i="2"/>
  <c r="J14" i="2"/>
  <c r="J15" i="2"/>
  <c r="J16" i="2"/>
  <c r="J17" i="2"/>
  <c r="J18" i="2"/>
  <c r="J19" i="2"/>
  <c r="J2" i="2"/>
  <c r="I3" i="2"/>
  <c r="I4" i="2"/>
  <c r="I5" i="2"/>
  <c r="I6" i="2"/>
  <c r="I7" i="2"/>
  <c r="I9" i="2"/>
  <c r="I11" i="2"/>
  <c r="I12" i="2"/>
  <c r="I13" i="2"/>
  <c r="I14" i="2"/>
  <c r="I15" i="2"/>
  <c r="I16" i="2"/>
  <c r="I17" i="2"/>
  <c r="I18" i="2"/>
  <c r="I19" i="2"/>
  <c r="I2" i="2"/>
  <c r="H3" i="2"/>
  <c r="H4" i="2"/>
  <c r="H5" i="2"/>
  <c r="H6" i="2"/>
  <c r="H7" i="2"/>
  <c r="H9" i="2"/>
  <c r="H11" i="2"/>
  <c r="H12" i="2"/>
  <c r="H13" i="2"/>
  <c r="H14" i="2"/>
  <c r="H15" i="2"/>
  <c r="H16" i="2"/>
  <c r="H17" i="2"/>
  <c r="H18" i="2"/>
  <c r="H19" i="2"/>
  <c r="H2" i="2"/>
  <c r="F3" i="2"/>
  <c r="F4" i="2"/>
  <c r="F5" i="2"/>
  <c r="F6" i="2"/>
  <c r="F7" i="2"/>
  <c r="F9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9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9" i="2"/>
  <c r="D11" i="2"/>
  <c r="D12" i="2"/>
  <c r="D13" i="2"/>
  <c r="D14" i="2"/>
  <c r="D15" i="2"/>
  <c r="D16" i="2"/>
  <c r="D17" i="2"/>
  <c r="D18" i="2"/>
  <c r="D19" i="2"/>
  <c r="D2" i="2"/>
  <c r="V66" i="1" l="1"/>
  <c r="V58" i="1"/>
  <c r="V10" i="1"/>
  <c r="U67" i="1"/>
  <c r="U68" i="1"/>
  <c r="U69" i="1"/>
  <c r="U70" i="1"/>
  <c r="U71" i="1"/>
  <c r="U72" i="1"/>
  <c r="U73" i="1"/>
  <c r="U66" i="1"/>
  <c r="U59" i="1"/>
  <c r="U60" i="1"/>
  <c r="U61" i="1"/>
  <c r="U62" i="1"/>
  <c r="U63" i="1"/>
  <c r="U64" i="1"/>
  <c r="U65" i="1"/>
  <c r="U58" i="1"/>
  <c r="U51" i="1"/>
  <c r="U52" i="1"/>
  <c r="U53" i="1"/>
  <c r="U54" i="1"/>
  <c r="U55" i="1"/>
  <c r="V50" i="1" s="1"/>
  <c r="U56" i="1"/>
  <c r="U57" i="1"/>
  <c r="U50" i="1"/>
  <c r="U43" i="1"/>
  <c r="U44" i="1"/>
  <c r="U45" i="1"/>
  <c r="U46" i="1"/>
  <c r="V42" i="1" s="1"/>
  <c r="U47" i="1"/>
  <c r="U48" i="1"/>
  <c r="U49" i="1"/>
  <c r="U42" i="1"/>
  <c r="U35" i="1"/>
  <c r="U36" i="1"/>
  <c r="U37" i="1"/>
  <c r="U38" i="1"/>
  <c r="V34" i="1" s="1"/>
  <c r="U39" i="1"/>
  <c r="U40" i="1"/>
  <c r="U41" i="1"/>
  <c r="U34" i="1"/>
  <c r="U27" i="1"/>
  <c r="U28" i="1"/>
  <c r="U29" i="1"/>
  <c r="U30" i="1"/>
  <c r="V26" i="1" s="1"/>
  <c r="U31" i="1"/>
  <c r="U32" i="1"/>
  <c r="U33" i="1"/>
  <c r="U26" i="1"/>
  <c r="U19" i="1"/>
  <c r="U20" i="1"/>
  <c r="U21" i="1"/>
  <c r="U22" i="1"/>
  <c r="V18" i="1" s="1"/>
  <c r="U23" i="1"/>
  <c r="U24" i="1"/>
  <c r="U25" i="1"/>
  <c r="U18" i="1"/>
  <c r="U4" i="1"/>
  <c r="U5" i="1"/>
  <c r="U6" i="1"/>
  <c r="U7" i="1"/>
  <c r="U8" i="1"/>
  <c r="V2" i="1" s="1"/>
  <c r="U9" i="1"/>
  <c r="U3" i="1"/>
  <c r="U2" i="1"/>
  <c r="U11" i="1"/>
  <c r="U12" i="1"/>
  <c r="U13" i="1"/>
  <c r="U14" i="1"/>
  <c r="U15" i="1"/>
  <c r="U16" i="1"/>
  <c r="U17" i="1"/>
  <c r="U10" i="1"/>
</calcChain>
</file>

<file path=xl/sharedStrings.xml><?xml version="1.0" encoding="utf-8"?>
<sst xmlns="http://schemas.openxmlformats.org/spreadsheetml/2006/main" count="221" uniqueCount="62">
  <si>
    <t>run</t>
  </si>
  <si>
    <t>status</t>
  </si>
  <si>
    <t>variables</t>
  </si>
  <si>
    <t>equality_constraints</t>
  </si>
  <si>
    <t>inequality_constraints</t>
  </si>
  <si>
    <t>iterations</t>
  </si>
  <si>
    <t>objective_unscaled</t>
  </si>
  <si>
    <t>constraint_violation_unscaled</t>
  </si>
  <si>
    <t>ipopt_cpu_secs</t>
  </si>
  <si>
    <t>nlp_cpu_secs</t>
  </si>
  <si>
    <t>python_wall</t>
  </si>
  <si>
    <t>ampl_wall</t>
  </si>
  <si>
    <t>solve_wall</t>
  </si>
  <si>
    <t>nvars</t>
  </si>
  <si>
    <t>snvars</t>
  </si>
  <si>
    <t>ncons</t>
  </si>
  <si>
    <t>sncons</t>
  </si>
  <si>
    <t>total_wall</t>
  </si>
  <si>
    <t>run_date</t>
  </si>
  <si>
    <t>run_start_time</t>
  </si>
  <si>
    <t>cart_pole_swing_col3_py</t>
  </si>
  <si>
    <t>Optimal Solution Found.</t>
  </si>
  <si>
    <t>cart_pole_swing_rk1_py</t>
  </si>
  <si>
    <t>cart_pole_swing_rk4_py</t>
  </si>
  <si>
    <t>spot_jump_twist_col3_py</t>
  </si>
  <si>
    <t>Converged to a point of local infeasibility. Problem may be infeasible.</t>
  </si>
  <si>
    <t>spot_jump_twist_rk1_py</t>
  </si>
  <si>
    <t>spot_jump_twist_rk4_py</t>
  </si>
  <si>
    <t>spot_jump_up_col3_py</t>
  </si>
  <si>
    <t>spot_jump_up_rk1_py</t>
  </si>
  <si>
    <t>spot_jump_up_rk4_py</t>
  </si>
  <si>
    <t>cart_pole_swing_col3_run</t>
  </si>
  <si>
    <t>cart_pole_swing_rk1_run</t>
  </si>
  <si>
    <t>cart_pole_swing_rk4_run</t>
  </si>
  <si>
    <t>spot_jump_twist_col3_run</t>
  </si>
  <si>
    <t>spot_jump_twist_rk1_run</t>
  </si>
  <si>
    <t>spot_jump_twist_rk4_run</t>
  </si>
  <si>
    <t>spot_jump_up_col3_run</t>
  </si>
  <si>
    <t>spot_jump_up_rk1_run</t>
  </si>
  <si>
    <t>spot_jump_up_rk4_run</t>
  </si>
  <si>
    <t>ratio</t>
  </si>
  <si>
    <t>avg. ratio</t>
  </si>
  <si>
    <t>Cart-Pole</t>
  </si>
  <si>
    <t>Spot Jump Twist</t>
  </si>
  <si>
    <t>Spot Jump Up</t>
  </si>
  <si>
    <t>COL3</t>
  </si>
  <si>
    <t>RK1</t>
  </si>
  <si>
    <t>RK4</t>
  </si>
  <si>
    <t>ODE</t>
  </si>
  <si>
    <t>-</t>
  </si>
  <si>
    <t>Demo</t>
  </si>
  <si>
    <t>TOL</t>
  </si>
  <si>
    <t>OOP</t>
  </si>
  <si>
    <t>AML</t>
  </si>
  <si>
    <t>Objective</t>
  </si>
  <si>
    <t>Wall Time</t>
  </si>
  <si>
    <t>Iterations</t>
  </si>
  <si>
    <t>Variables</t>
  </si>
  <si>
    <t>Eq. Constr.</t>
  </si>
  <si>
    <t>Ineq. Constr.</t>
  </si>
  <si>
    <t>Presolve</t>
  </si>
  <si>
    <t>Eval.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</si>
</sst>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975E8-03D6-4A1F-A021-C43B5CB9DDF9}">
  <dimension ref="A1:V73"/>
  <sheetViews>
    <sheetView workbookViewId="0">
      <pane xSplit="1" topLeftCell="B1" activePane="topRight" state="frozen"/>
      <selection pane="topRight" activeCell="J1" sqref="J1"/>
    </sheetView>
  </sheetViews>
  <sheetFormatPr defaultRowHeight="15" x14ac:dyDescent="0.25"/>
  <cols>
    <col min="1" max="1" width="24.140625" bestFit="1" customWidth="1"/>
    <col min="2" max="2" width="63.28515625" bestFit="1" customWidth="1"/>
    <col min="4" max="4" width="19.140625" bestFit="1" customWidth="1"/>
    <col min="5" max="5" width="20.85546875" bestFit="1" customWidth="1"/>
    <col min="6" max="6" width="9.42578125" bestFit="1" customWidth="1"/>
    <col min="7" max="7" width="18.140625" bestFit="1" customWidth="1"/>
    <col min="8" max="8" width="28.140625" bestFit="1" customWidth="1"/>
    <col min="9" max="9" width="14.7109375" bestFit="1" customWidth="1"/>
    <col min="10" max="10" width="12.85546875" bestFit="1" customWidth="1"/>
    <col min="11" max="11" width="12" bestFit="1" customWidth="1"/>
    <col min="12" max="12" width="10.140625" bestFit="1" customWidth="1"/>
    <col min="13" max="13" width="11" bestFit="1" customWidth="1"/>
    <col min="14" max="14" width="7" bestFit="1" customWidth="1"/>
    <col min="15" max="15" width="6.85546875" bestFit="1" customWidth="1"/>
    <col min="16" max="16" width="7" bestFit="1" customWidth="1"/>
    <col min="17" max="17" width="7.42578125" bestFit="1" customWidth="1"/>
    <col min="18" max="18" width="9.5703125" bestFit="1" customWidth="1"/>
    <col min="19" max="19" width="9" bestFit="1" customWidth="1"/>
    <col min="20" max="20" width="13.7109375" bestFit="1" customWidth="1"/>
    <col min="21" max="22" width="12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40</v>
      </c>
      <c r="V1" t="s">
        <v>41</v>
      </c>
    </row>
    <row r="2" spans="1:22" x14ac:dyDescent="0.25">
      <c r="A2" t="s">
        <v>20</v>
      </c>
      <c r="B2" t="s">
        <v>21</v>
      </c>
      <c r="C2">
        <v>900</v>
      </c>
      <c r="D2">
        <v>853</v>
      </c>
      <c r="E2">
        <v>50</v>
      </c>
      <c r="F2">
        <v>371</v>
      </c>
      <c r="G2" s="1">
        <v>1583.33899916276</v>
      </c>
      <c r="H2" s="1">
        <v>1.60813584670904E-10</v>
      </c>
      <c r="I2">
        <v>1.0329999999999999</v>
      </c>
      <c r="J2">
        <v>0.14499999999999999</v>
      </c>
      <c r="K2">
        <v>1.9638341459994899</v>
      </c>
      <c r="R2">
        <v>1.96383</v>
      </c>
      <c r="S2">
        <v>20260407</v>
      </c>
      <c r="T2">
        <v>153756</v>
      </c>
      <c r="U2">
        <f>R2/R$2</f>
        <v>1</v>
      </c>
      <c r="V2">
        <f>SUM(U6:U9)/SUM(U2:U5)</f>
        <v>2.0771154968199337</v>
      </c>
    </row>
    <row r="3" spans="1:22" x14ac:dyDescent="0.25">
      <c r="A3" t="s">
        <v>20</v>
      </c>
      <c r="B3" t="s">
        <v>21</v>
      </c>
      <c r="C3">
        <v>900</v>
      </c>
      <c r="D3">
        <v>853</v>
      </c>
      <c r="E3">
        <v>50</v>
      </c>
      <c r="F3">
        <v>371</v>
      </c>
      <c r="G3" s="1">
        <v>1583.33899916276</v>
      </c>
      <c r="H3" s="1">
        <v>1.60813584670904E-10</v>
      </c>
      <c r="I3">
        <v>0.99199999999999999</v>
      </c>
      <c r="J3">
        <v>0.14000000000000001</v>
      </c>
      <c r="K3">
        <v>1.9207303919993099</v>
      </c>
      <c r="R3">
        <v>1.92073</v>
      </c>
      <c r="S3">
        <v>20260407</v>
      </c>
      <c r="T3">
        <v>164510</v>
      </c>
      <c r="U3">
        <f>R3/R$2</f>
        <v>0.97805309013509323</v>
      </c>
    </row>
    <row r="4" spans="1:22" x14ac:dyDescent="0.25">
      <c r="A4" t="s">
        <v>20</v>
      </c>
      <c r="B4" t="s">
        <v>21</v>
      </c>
      <c r="C4">
        <v>900</v>
      </c>
      <c r="D4">
        <v>853</v>
      </c>
      <c r="E4">
        <v>50</v>
      </c>
      <c r="F4">
        <v>371</v>
      </c>
      <c r="G4" s="1">
        <v>1583.33899916276</v>
      </c>
      <c r="H4" s="1">
        <v>1.60813584670904E-10</v>
      </c>
      <c r="I4">
        <v>1.004</v>
      </c>
      <c r="J4">
        <v>0.13900000000000001</v>
      </c>
      <c r="K4">
        <v>2.0751291330016102</v>
      </c>
      <c r="R4">
        <v>2.0751300000000001</v>
      </c>
      <c r="S4">
        <v>20260407</v>
      </c>
      <c r="T4">
        <v>175228</v>
      </c>
      <c r="U4">
        <f t="shared" ref="U4:U9" si="0">R4/R$2</f>
        <v>1.0566749667741098</v>
      </c>
    </row>
    <row r="5" spans="1:22" x14ac:dyDescent="0.25">
      <c r="A5" t="s">
        <v>20</v>
      </c>
      <c r="B5" t="s">
        <v>21</v>
      </c>
      <c r="C5">
        <v>900</v>
      </c>
      <c r="D5">
        <v>853</v>
      </c>
      <c r="E5">
        <v>50</v>
      </c>
      <c r="F5">
        <v>371</v>
      </c>
      <c r="G5" s="1">
        <v>1583.33899916276</v>
      </c>
      <c r="H5" s="1">
        <v>1.60813584670904E-10</v>
      </c>
      <c r="I5">
        <v>1.0269999999999999</v>
      </c>
      <c r="J5">
        <v>0.14099999999999999</v>
      </c>
      <c r="K5">
        <v>1.97568370600129</v>
      </c>
      <c r="R5">
        <v>1.9756800000000001</v>
      </c>
      <c r="S5">
        <v>20260407</v>
      </c>
      <c r="T5">
        <v>185937</v>
      </c>
      <c r="U5">
        <f t="shared" si="0"/>
        <v>1.0060341271902355</v>
      </c>
    </row>
    <row r="6" spans="1:22" x14ac:dyDescent="0.25">
      <c r="A6" t="s">
        <v>31</v>
      </c>
      <c r="B6" t="s">
        <v>21</v>
      </c>
      <c r="C6">
        <v>1197</v>
      </c>
      <c r="D6">
        <v>1150</v>
      </c>
      <c r="E6">
        <v>50</v>
      </c>
      <c r="F6">
        <v>409</v>
      </c>
      <c r="G6" s="1">
        <v>1921.3975853618199</v>
      </c>
      <c r="H6" s="1">
        <v>2.17228901533417E-10</v>
      </c>
      <c r="I6">
        <v>3.1949999999999998</v>
      </c>
      <c r="J6">
        <v>0.71099999999999997</v>
      </c>
      <c r="L6">
        <v>5.3720999999999901E-2</v>
      </c>
      <c r="M6">
        <v>3.9514140000000002</v>
      </c>
      <c r="N6">
        <v>19139</v>
      </c>
      <c r="O6">
        <v>1197</v>
      </c>
      <c r="P6">
        <v>19447</v>
      </c>
      <c r="Q6">
        <v>1200</v>
      </c>
      <c r="R6">
        <v>4.0051399999999999</v>
      </c>
      <c r="S6">
        <v>20260407</v>
      </c>
      <c r="T6">
        <v>144428</v>
      </c>
      <c r="U6">
        <f t="shared" si="0"/>
        <v>2.0394535168522734</v>
      </c>
    </row>
    <row r="7" spans="1:22" x14ac:dyDescent="0.25">
      <c r="A7" t="s">
        <v>31</v>
      </c>
      <c r="B7" t="s">
        <v>21</v>
      </c>
      <c r="C7">
        <v>1197</v>
      </c>
      <c r="D7">
        <v>1150</v>
      </c>
      <c r="E7">
        <v>50</v>
      </c>
      <c r="F7">
        <v>409</v>
      </c>
      <c r="G7" s="1">
        <v>1921.3975853618199</v>
      </c>
      <c r="H7" s="1">
        <v>2.17228901533417E-10</v>
      </c>
      <c r="I7">
        <v>3.339</v>
      </c>
      <c r="J7">
        <v>0.74299999999999999</v>
      </c>
      <c r="L7">
        <v>5.2256999999999998E-2</v>
      </c>
      <c r="M7">
        <v>4.1236179999999996</v>
      </c>
      <c r="N7">
        <v>19139</v>
      </c>
      <c r="O7">
        <v>1197</v>
      </c>
      <c r="P7">
        <v>19447</v>
      </c>
      <c r="Q7">
        <v>1200</v>
      </c>
      <c r="R7">
        <v>4.1758699999999997</v>
      </c>
      <c r="S7">
        <v>20260407</v>
      </c>
      <c r="T7">
        <v>155047</v>
      </c>
      <c r="U7">
        <f t="shared" si="0"/>
        <v>2.1263907772057662</v>
      </c>
    </row>
    <row r="8" spans="1:22" x14ac:dyDescent="0.25">
      <c r="A8" t="s">
        <v>31</v>
      </c>
      <c r="B8" t="s">
        <v>21</v>
      </c>
      <c r="C8">
        <v>1197</v>
      </c>
      <c r="D8">
        <v>1150</v>
      </c>
      <c r="E8">
        <v>50</v>
      </c>
      <c r="F8">
        <v>409</v>
      </c>
      <c r="G8" s="1">
        <v>1921.3975853618199</v>
      </c>
      <c r="H8" s="1">
        <v>2.17228901533417E-10</v>
      </c>
      <c r="I8">
        <v>3.3050000000000002</v>
      </c>
      <c r="J8">
        <v>0.72699999999999998</v>
      </c>
      <c r="L8">
        <v>6.0215999999999603E-2</v>
      </c>
      <c r="M8">
        <v>4.0997370000000002</v>
      </c>
      <c r="N8">
        <v>19139</v>
      </c>
      <c r="O8">
        <v>1197</v>
      </c>
      <c r="P8">
        <v>19447</v>
      </c>
      <c r="Q8">
        <v>1200</v>
      </c>
      <c r="R8">
        <v>4.1599500000000003</v>
      </c>
      <c r="S8">
        <v>20260407</v>
      </c>
      <c r="T8">
        <v>165800</v>
      </c>
      <c r="U8">
        <f t="shared" si="0"/>
        <v>2.1182841691999816</v>
      </c>
    </row>
    <row r="9" spans="1:22" x14ac:dyDescent="0.25">
      <c r="A9" t="s">
        <v>31</v>
      </c>
      <c r="B9" t="s">
        <v>21</v>
      </c>
      <c r="C9">
        <v>1197</v>
      </c>
      <c r="D9">
        <v>1150</v>
      </c>
      <c r="E9">
        <v>50</v>
      </c>
      <c r="F9">
        <v>409</v>
      </c>
      <c r="G9" s="1">
        <v>1921.3975853618199</v>
      </c>
      <c r="H9" s="1">
        <v>2.17228901533417E-10</v>
      </c>
      <c r="I9">
        <v>3.3029999999999999</v>
      </c>
      <c r="J9">
        <v>0.73499999999999999</v>
      </c>
      <c r="L9">
        <v>5.2630999999999803E-2</v>
      </c>
      <c r="M9">
        <v>4.0890849999999999</v>
      </c>
      <c r="N9">
        <v>19139</v>
      </c>
      <c r="O9">
        <v>1197</v>
      </c>
      <c r="P9">
        <v>19447</v>
      </c>
      <c r="Q9">
        <v>1200</v>
      </c>
      <c r="R9">
        <v>4.1417200000000003</v>
      </c>
      <c r="S9">
        <v>20260407</v>
      </c>
      <c r="T9">
        <v>180520</v>
      </c>
      <c r="U9">
        <f t="shared" si="0"/>
        <v>2.1090012882988853</v>
      </c>
    </row>
    <row r="10" spans="1:22" x14ac:dyDescent="0.25">
      <c r="A10" t="s">
        <v>22</v>
      </c>
      <c r="B10" t="s">
        <v>21</v>
      </c>
      <c r="C10">
        <v>300</v>
      </c>
      <c r="D10">
        <v>253</v>
      </c>
      <c r="E10">
        <v>50</v>
      </c>
      <c r="F10">
        <v>371</v>
      </c>
      <c r="G10" s="1">
        <v>1583.33899916274</v>
      </c>
      <c r="H10" s="1">
        <v>1.60815361027744E-10</v>
      </c>
      <c r="I10">
        <v>0.57599999999999996</v>
      </c>
      <c r="J10">
        <v>8.8999999999999996E-2</v>
      </c>
      <c r="K10">
        <v>1.2177817419997099</v>
      </c>
      <c r="R10">
        <v>1.2177800000000001</v>
      </c>
      <c r="S10">
        <v>20260407</v>
      </c>
      <c r="T10">
        <v>153756</v>
      </c>
      <c r="U10">
        <f>R10/R$10</f>
        <v>1</v>
      </c>
      <c r="V10">
        <f>SUM(U14:U17)/SUM(U10:U13)</f>
        <v>1.7392747755528497</v>
      </c>
    </row>
    <row r="11" spans="1:22" x14ac:dyDescent="0.25">
      <c r="A11" t="s">
        <v>22</v>
      </c>
      <c r="B11" t="s">
        <v>21</v>
      </c>
      <c r="C11">
        <v>300</v>
      </c>
      <c r="D11">
        <v>253</v>
      </c>
      <c r="E11">
        <v>50</v>
      </c>
      <c r="F11">
        <v>371</v>
      </c>
      <c r="G11" s="1">
        <v>1583.33899916274</v>
      </c>
      <c r="H11" s="1">
        <v>1.60815361027744E-10</v>
      </c>
      <c r="I11">
        <v>0.53500000000000003</v>
      </c>
      <c r="J11">
        <v>8.2000000000000003E-2</v>
      </c>
      <c r="K11">
        <v>1.1664603619992699</v>
      </c>
      <c r="R11">
        <v>1.1664600000000001</v>
      </c>
      <c r="S11">
        <v>20260407</v>
      </c>
      <c r="T11">
        <v>164510</v>
      </c>
      <c r="U11">
        <f t="shared" ref="U11:U17" si="1">R11/R$10</f>
        <v>0.95785774113550881</v>
      </c>
    </row>
    <row r="12" spans="1:22" x14ac:dyDescent="0.25">
      <c r="A12" t="s">
        <v>22</v>
      </c>
      <c r="B12" t="s">
        <v>21</v>
      </c>
      <c r="C12">
        <v>300</v>
      </c>
      <c r="D12">
        <v>253</v>
      </c>
      <c r="E12">
        <v>50</v>
      </c>
      <c r="F12">
        <v>371</v>
      </c>
      <c r="G12" s="1">
        <v>1583.33899916274</v>
      </c>
      <c r="H12" s="1">
        <v>1.60815361027744E-10</v>
      </c>
      <c r="I12">
        <v>0.55900000000000005</v>
      </c>
      <c r="J12">
        <v>8.5999999999999993E-2</v>
      </c>
      <c r="K12">
        <v>1.1740534039999999</v>
      </c>
      <c r="R12">
        <v>1.17405</v>
      </c>
      <c r="S12">
        <v>20260407</v>
      </c>
      <c r="T12">
        <v>175228</v>
      </c>
      <c r="U12">
        <f t="shared" si="1"/>
        <v>0.96409039399563135</v>
      </c>
    </row>
    <row r="13" spans="1:22" x14ac:dyDescent="0.25">
      <c r="A13" t="s">
        <v>22</v>
      </c>
      <c r="B13" t="s">
        <v>21</v>
      </c>
      <c r="C13">
        <v>300</v>
      </c>
      <c r="D13">
        <v>253</v>
      </c>
      <c r="E13">
        <v>50</v>
      </c>
      <c r="F13">
        <v>371</v>
      </c>
      <c r="G13" s="1">
        <v>1583.33899916274</v>
      </c>
      <c r="H13" s="1">
        <v>1.60815361027744E-10</v>
      </c>
      <c r="I13">
        <v>0.59</v>
      </c>
      <c r="J13">
        <v>9.0999999999999998E-2</v>
      </c>
      <c r="K13">
        <v>1.1889263960001699</v>
      </c>
      <c r="R13">
        <v>1.18893</v>
      </c>
      <c r="S13">
        <v>20260407</v>
      </c>
      <c r="T13">
        <v>185937</v>
      </c>
      <c r="U13">
        <f t="shared" si="1"/>
        <v>0.97630934980045658</v>
      </c>
    </row>
    <row r="14" spans="1:22" x14ac:dyDescent="0.25">
      <c r="A14" t="s">
        <v>32</v>
      </c>
      <c r="B14" t="s">
        <v>21</v>
      </c>
      <c r="C14">
        <v>295</v>
      </c>
      <c r="D14">
        <v>248</v>
      </c>
      <c r="E14">
        <v>50</v>
      </c>
      <c r="F14">
        <v>371</v>
      </c>
      <c r="G14" s="1">
        <v>1583.33899916274</v>
      </c>
      <c r="H14" s="1">
        <v>1.60810031957225E-10</v>
      </c>
      <c r="I14">
        <v>1.242</v>
      </c>
      <c r="J14">
        <v>0.55600000000000005</v>
      </c>
      <c r="L14">
        <v>5.0002999999999798E-2</v>
      </c>
      <c r="M14">
        <v>1.8734690000000001</v>
      </c>
      <c r="N14">
        <v>16889</v>
      </c>
      <c r="O14">
        <v>295</v>
      </c>
      <c r="P14">
        <v>17197</v>
      </c>
      <c r="Q14">
        <v>298</v>
      </c>
      <c r="R14">
        <v>1.92347</v>
      </c>
      <c r="S14">
        <v>20260407</v>
      </c>
      <c r="T14">
        <v>144428</v>
      </c>
      <c r="U14">
        <f t="shared" si="1"/>
        <v>1.5794889060421422</v>
      </c>
    </row>
    <row r="15" spans="1:22" x14ac:dyDescent="0.25">
      <c r="A15" t="s">
        <v>32</v>
      </c>
      <c r="B15" t="s">
        <v>21</v>
      </c>
      <c r="C15">
        <v>295</v>
      </c>
      <c r="D15">
        <v>248</v>
      </c>
      <c r="E15">
        <v>50</v>
      </c>
      <c r="F15">
        <v>371</v>
      </c>
      <c r="G15" s="1">
        <v>1583.33899916274</v>
      </c>
      <c r="H15" s="1">
        <v>1.60810031957225E-10</v>
      </c>
      <c r="I15">
        <v>1.3049999999999999</v>
      </c>
      <c r="J15">
        <v>0.58199999999999996</v>
      </c>
      <c r="L15">
        <v>5.69329999999999E-2</v>
      </c>
      <c r="M15">
        <v>2.1074730000000002</v>
      </c>
      <c r="N15">
        <v>16889</v>
      </c>
      <c r="O15">
        <v>295</v>
      </c>
      <c r="P15">
        <v>17197</v>
      </c>
      <c r="Q15">
        <v>298</v>
      </c>
      <c r="R15">
        <v>2.1644100000000002</v>
      </c>
      <c r="S15">
        <v>20260407</v>
      </c>
      <c r="T15">
        <v>155047</v>
      </c>
      <c r="U15">
        <f t="shared" si="1"/>
        <v>1.777340734779681</v>
      </c>
    </row>
    <row r="16" spans="1:22" x14ac:dyDescent="0.25">
      <c r="A16" t="s">
        <v>32</v>
      </c>
      <c r="B16" t="s">
        <v>21</v>
      </c>
      <c r="C16">
        <v>295</v>
      </c>
      <c r="D16">
        <v>248</v>
      </c>
      <c r="E16">
        <v>50</v>
      </c>
      <c r="F16">
        <v>371</v>
      </c>
      <c r="G16" s="1">
        <v>1583.33899916274</v>
      </c>
      <c r="H16" s="1">
        <v>1.60810031957225E-10</v>
      </c>
      <c r="I16">
        <v>1.2929999999999999</v>
      </c>
      <c r="J16">
        <v>0.57399999999999995</v>
      </c>
      <c r="L16">
        <v>4.8745999999999901E-2</v>
      </c>
      <c r="M16">
        <v>2.1333380000000002</v>
      </c>
      <c r="N16">
        <v>16889</v>
      </c>
      <c r="O16">
        <v>295</v>
      </c>
      <c r="P16">
        <v>17197</v>
      </c>
      <c r="Q16">
        <v>298</v>
      </c>
      <c r="R16">
        <v>2.18208</v>
      </c>
      <c r="S16">
        <v>20260407</v>
      </c>
      <c r="T16">
        <v>165800</v>
      </c>
      <c r="U16">
        <f t="shared" si="1"/>
        <v>1.7918507447979108</v>
      </c>
    </row>
    <row r="17" spans="1:22" x14ac:dyDescent="0.25">
      <c r="A17" t="s">
        <v>32</v>
      </c>
      <c r="B17" t="s">
        <v>21</v>
      </c>
      <c r="C17">
        <v>295</v>
      </c>
      <c r="D17">
        <v>248</v>
      </c>
      <c r="E17">
        <v>50</v>
      </c>
      <c r="F17">
        <v>371</v>
      </c>
      <c r="G17" s="1">
        <v>1583.33899916274</v>
      </c>
      <c r="H17" s="1">
        <v>1.60810031957225E-10</v>
      </c>
      <c r="I17">
        <v>1.2809999999999999</v>
      </c>
      <c r="J17">
        <v>0.56999999999999995</v>
      </c>
      <c r="L17">
        <v>4.9737000000000101E-2</v>
      </c>
      <c r="M17">
        <v>1.9370269999999901</v>
      </c>
      <c r="N17">
        <v>16889</v>
      </c>
      <c r="O17">
        <v>295</v>
      </c>
      <c r="P17">
        <v>17197</v>
      </c>
      <c r="Q17">
        <v>298</v>
      </c>
      <c r="R17">
        <v>1.9867600000000001</v>
      </c>
      <c r="S17">
        <v>20260407</v>
      </c>
      <c r="T17">
        <v>180520</v>
      </c>
      <c r="U17">
        <f t="shared" si="1"/>
        <v>1.6314605265318858</v>
      </c>
    </row>
    <row r="18" spans="1:22" x14ac:dyDescent="0.25">
      <c r="A18" t="s">
        <v>23</v>
      </c>
      <c r="B18" t="s">
        <v>21</v>
      </c>
      <c r="C18">
        <v>300</v>
      </c>
      <c r="D18">
        <v>253</v>
      </c>
      <c r="E18">
        <v>50</v>
      </c>
      <c r="F18">
        <v>411</v>
      </c>
      <c r="G18" s="1">
        <v>1921.3975853618001</v>
      </c>
      <c r="H18" s="1">
        <v>2.1748114420461199E-10</v>
      </c>
      <c r="I18">
        <v>0.61299999999999999</v>
      </c>
      <c r="J18">
        <v>0.105</v>
      </c>
      <c r="K18">
        <v>1.3728643550002699</v>
      </c>
      <c r="R18">
        <v>1.37286</v>
      </c>
      <c r="S18">
        <v>20260407</v>
      </c>
      <c r="T18">
        <v>153756</v>
      </c>
      <c r="U18">
        <f>R18/R$18</f>
        <v>1</v>
      </c>
      <c r="V18">
        <f>SUM(U22:U25)/SUM(U18:U21)</f>
        <v>3.4631237052066925</v>
      </c>
    </row>
    <row r="19" spans="1:22" x14ac:dyDescent="0.25">
      <c r="A19" t="s">
        <v>23</v>
      </c>
      <c r="B19" t="s">
        <v>21</v>
      </c>
      <c r="C19">
        <v>300</v>
      </c>
      <c r="D19">
        <v>253</v>
      </c>
      <c r="E19">
        <v>50</v>
      </c>
      <c r="F19">
        <v>411</v>
      </c>
      <c r="G19" s="1">
        <v>1921.3975853618001</v>
      </c>
      <c r="H19" s="1">
        <v>2.1748114420461199E-10</v>
      </c>
      <c r="I19">
        <v>0.60399999999999998</v>
      </c>
      <c r="J19">
        <v>0.10299999999999999</v>
      </c>
      <c r="K19">
        <v>1.2524615900001601</v>
      </c>
      <c r="R19">
        <v>1.2524599999999999</v>
      </c>
      <c r="S19">
        <v>20260407</v>
      </c>
      <c r="T19">
        <v>164510</v>
      </c>
      <c r="U19">
        <f t="shared" ref="U19:U25" si="2">R19/R$18</f>
        <v>0.91229987034366211</v>
      </c>
    </row>
    <row r="20" spans="1:22" x14ac:dyDescent="0.25">
      <c r="A20" t="s">
        <v>23</v>
      </c>
      <c r="B20" t="s">
        <v>21</v>
      </c>
      <c r="C20">
        <v>300</v>
      </c>
      <c r="D20">
        <v>253</v>
      </c>
      <c r="E20">
        <v>50</v>
      </c>
      <c r="F20">
        <v>411</v>
      </c>
      <c r="G20" s="1">
        <v>1921.3975853618001</v>
      </c>
      <c r="H20" s="1">
        <v>2.1748114420461199E-10</v>
      </c>
      <c r="I20">
        <v>0.60499999999999998</v>
      </c>
      <c r="J20">
        <v>0.10299999999999999</v>
      </c>
      <c r="K20">
        <v>1.2506170439992199</v>
      </c>
      <c r="R20">
        <v>1.2506200000000001</v>
      </c>
      <c r="S20">
        <v>20260407</v>
      </c>
      <c r="T20">
        <v>175228</v>
      </c>
      <c r="U20">
        <f t="shared" si="2"/>
        <v>0.91095960258147235</v>
      </c>
    </row>
    <row r="21" spans="1:22" x14ac:dyDescent="0.25">
      <c r="A21" t="s">
        <v>23</v>
      </c>
      <c r="B21" t="s">
        <v>21</v>
      </c>
      <c r="C21">
        <v>300</v>
      </c>
      <c r="D21">
        <v>253</v>
      </c>
      <c r="E21">
        <v>50</v>
      </c>
      <c r="F21">
        <v>411</v>
      </c>
      <c r="G21" s="1">
        <v>1921.3975853618001</v>
      </c>
      <c r="H21" s="1">
        <v>2.1748114420461199E-10</v>
      </c>
      <c r="I21">
        <v>0.59599999999999997</v>
      </c>
      <c r="J21">
        <v>0.10100000000000001</v>
      </c>
      <c r="K21">
        <v>1.2841469939994501</v>
      </c>
      <c r="R21">
        <v>1.2841499999999999</v>
      </c>
      <c r="S21">
        <v>20260407</v>
      </c>
      <c r="T21">
        <v>185937</v>
      </c>
      <c r="U21">
        <f t="shared" si="2"/>
        <v>0.93538306892181278</v>
      </c>
    </row>
    <row r="22" spans="1:22" x14ac:dyDescent="0.25">
      <c r="A22" t="s">
        <v>33</v>
      </c>
      <c r="B22" t="s">
        <v>21</v>
      </c>
      <c r="C22">
        <v>1195</v>
      </c>
      <c r="D22">
        <v>1148</v>
      </c>
      <c r="E22">
        <v>50</v>
      </c>
      <c r="F22">
        <v>409</v>
      </c>
      <c r="G22" s="1">
        <v>1921.3975853618199</v>
      </c>
      <c r="H22" s="1">
        <v>2.17227125176577E-10</v>
      </c>
      <c r="I22">
        <v>3.4369999999999998</v>
      </c>
      <c r="J22">
        <v>0.7</v>
      </c>
      <c r="L22">
        <v>5.3578000000000701E-2</v>
      </c>
      <c r="M22">
        <v>4.2682139999999897</v>
      </c>
      <c r="N22">
        <v>19139</v>
      </c>
      <c r="O22">
        <v>1195</v>
      </c>
      <c r="P22">
        <v>19447</v>
      </c>
      <c r="Q22">
        <v>1198</v>
      </c>
      <c r="R22">
        <v>4.32179</v>
      </c>
      <c r="S22">
        <v>20260407</v>
      </c>
      <c r="T22">
        <v>144428</v>
      </c>
      <c r="U22">
        <f t="shared" si="2"/>
        <v>3.1480194630188074</v>
      </c>
    </row>
    <row r="23" spans="1:22" x14ac:dyDescent="0.25">
      <c r="A23" t="s">
        <v>33</v>
      </c>
      <c r="B23" t="s">
        <v>21</v>
      </c>
      <c r="C23">
        <v>1195</v>
      </c>
      <c r="D23">
        <v>1148</v>
      </c>
      <c r="E23">
        <v>50</v>
      </c>
      <c r="F23">
        <v>409</v>
      </c>
      <c r="G23" s="1">
        <v>1921.3975853618199</v>
      </c>
      <c r="H23" s="1">
        <v>2.17227125176577E-10</v>
      </c>
      <c r="I23">
        <v>3.6019999999999999</v>
      </c>
      <c r="J23">
        <v>0.74</v>
      </c>
      <c r="L23">
        <v>5.5152999999999702E-2</v>
      </c>
      <c r="M23">
        <v>4.4893450000000001</v>
      </c>
      <c r="N23">
        <v>19139</v>
      </c>
      <c r="O23">
        <v>1195</v>
      </c>
      <c r="P23">
        <v>19447</v>
      </c>
      <c r="Q23">
        <v>1198</v>
      </c>
      <c r="R23">
        <v>4.5445000000000002</v>
      </c>
      <c r="S23">
        <v>20260407</v>
      </c>
      <c r="T23">
        <v>155047</v>
      </c>
      <c r="U23">
        <f t="shared" si="2"/>
        <v>3.310242850691258</v>
      </c>
    </row>
    <row r="24" spans="1:22" x14ac:dyDescent="0.25">
      <c r="A24" t="s">
        <v>33</v>
      </c>
      <c r="B24" t="s">
        <v>21</v>
      </c>
      <c r="C24">
        <v>1195</v>
      </c>
      <c r="D24">
        <v>1148</v>
      </c>
      <c r="E24">
        <v>50</v>
      </c>
      <c r="F24">
        <v>409</v>
      </c>
      <c r="G24" s="1">
        <v>1921.3975853618199</v>
      </c>
      <c r="H24" s="1">
        <v>2.17227125176577E-10</v>
      </c>
      <c r="I24">
        <v>3.5289999999999999</v>
      </c>
      <c r="J24">
        <v>0.71899999999999997</v>
      </c>
      <c r="L24">
        <v>5.2963999999999303E-2</v>
      </c>
      <c r="M24">
        <v>4.444998</v>
      </c>
      <c r="N24">
        <v>19139</v>
      </c>
      <c r="O24">
        <v>1195</v>
      </c>
      <c r="P24">
        <v>19447</v>
      </c>
      <c r="Q24">
        <v>1198</v>
      </c>
      <c r="R24">
        <v>4.49796</v>
      </c>
      <c r="S24">
        <v>20260407</v>
      </c>
      <c r="T24">
        <v>165800</v>
      </c>
      <c r="U24">
        <f t="shared" si="2"/>
        <v>3.2763428171845637</v>
      </c>
    </row>
    <row r="25" spans="1:22" x14ac:dyDescent="0.25">
      <c r="A25" t="s">
        <v>33</v>
      </c>
      <c r="B25" t="s">
        <v>21</v>
      </c>
      <c r="C25">
        <v>1195</v>
      </c>
      <c r="D25">
        <v>1148</v>
      </c>
      <c r="E25">
        <v>50</v>
      </c>
      <c r="F25">
        <v>409</v>
      </c>
      <c r="G25" s="1">
        <v>1921.3975853618199</v>
      </c>
      <c r="H25" s="1">
        <v>2.17227125176577E-10</v>
      </c>
      <c r="I25">
        <v>3.5750000000000002</v>
      </c>
      <c r="J25">
        <v>0.73099999999999998</v>
      </c>
      <c r="L25">
        <v>5.4179999999999597E-2</v>
      </c>
      <c r="M25">
        <v>4.4516039999999997</v>
      </c>
      <c r="N25">
        <v>19139</v>
      </c>
      <c r="O25">
        <v>1195</v>
      </c>
      <c r="P25">
        <v>19447</v>
      </c>
      <c r="Q25">
        <v>1198</v>
      </c>
      <c r="R25">
        <v>4.5057799999999997</v>
      </c>
      <c r="S25">
        <v>20260407</v>
      </c>
      <c r="T25">
        <v>180520</v>
      </c>
      <c r="U25">
        <f t="shared" si="2"/>
        <v>3.2820389551738702</v>
      </c>
    </row>
    <row r="26" spans="1:22" x14ac:dyDescent="0.25">
      <c r="A26" t="s">
        <v>24</v>
      </c>
      <c r="B26" t="s">
        <v>25</v>
      </c>
      <c r="C26">
        <v>8950</v>
      </c>
      <c r="D26">
        <v>8337</v>
      </c>
      <c r="E26">
        <v>1180</v>
      </c>
      <c r="F26">
        <v>493</v>
      </c>
      <c r="G26" s="1">
        <v>16947.152891601902</v>
      </c>
      <c r="H26" s="1">
        <v>1.24110500593949E-2</v>
      </c>
      <c r="I26">
        <v>75.350999999999999</v>
      </c>
      <c r="J26">
        <v>17.327999999999999</v>
      </c>
      <c r="K26">
        <v>118.691841214999</v>
      </c>
      <c r="R26">
        <v>118.69199999999999</v>
      </c>
      <c r="S26">
        <v>20260407</v>
      </c>
      <c r="T26">
        <v>153756</v>
      </c>
      <c r="U26">
        <f>R26/R$26</f>
        <v>1</v>
      </c>
      <c r="V26">
        <f>SUM(U30:U33)/SUM(U26:U29)</f>
        <v>7.639335044137888</v>
      </c>
    </row>
    <row r="27" spans="1:22" x14ac:dyDescent="0.25">
      <c r="A27" t="s">
        <v>24</v>
      </c>
      <c r="B27" t="s">
        <v>25</v>
      </c>
      <c r="C27">
        <v>8950</v>
      </c>
      <c r="D27">
        <v>8337</v>
      </c>
      <c r="E27">
        <v>1180</v>
      </c>
      <c r="F27">
        <v>493</v>
      </c>
      <c r="G27" s="1">
        <v>16947.152891601902</v>
      </c>
      <c r="H27" s="1">
        <v>1.24110500593949E-2</v>
      </c>
      <c r="I27">
        <v>75.647999999999996</v>
      </c>
      <c r="J27">
        <v>17.497</v>
      </c>
      <c r="K27">
        <v>114.58615272599999</v>
      </c>
      <c r="R27">
        <v>114.586</v>
      </c>
      <c r="S27">
        <v>20260407</v>
      </c>
      <c r="T27">
        <v>164510</v>
      </c>
      <c r="U27">
        <f t="shared" ref="U27:U33" si="3">R27/R$26</f>
        <v>0.96540626158460563</v>
      </c>
    </row>
    <row r="28" spans="1:22" x14ac:dyDescent="0.25">
      <c r="A28" t="s">
        <v>24</v>
      </c>
      <c r="B28" t="s">
        <v>25</v>
      </c>
      <c r="C28">
        <v>8950</v>
      </c>
      <c r="D28">
        <v>8337</v>
      </c>
      <c r="E28">
        <v>1180</v>
      </c>
      <c r="F28">
        <v>493</v>
      </c>
      <c r="G28" s="1">
        <v>16947.152891601902</v>
      </c>
      <c r="H28" s="1">
        <v>1.24110500593949E-2</v>
      </c>
      <c r="I28">
        <v>75.263999999999996</v>
      </c>
      <c r="J28">
        <v>17.213999999999999</v>
      </c>
      <c r="K28">
        <v>116.378830866999</v>
      </c>
      <c r="R28">
        <v>116.379</v>
      </c>
      <c r="S28">
        <v>20260407</v>
      </c>
      <c r="T28">
        <v>175228</v>
      </c>
      <c r="U28">
        <f t="shared" si="3"/>
        <v>0.9805125872004854</v>
      </c>
    </row>
    <row r="29" spans="1:22" x14ac:dyDescent="0.25">
      <c r="A29" t="s">
        <v>24</v>
      </c>
      <c r="B29" t="s">
        <v>25</v>
      </c>
      <c r="C29">
        <v>8950</v>
      </c>
      <c r="D29">
        <v>8337</v>
      </c>
      <c r="E29">
        <v>1180</v>
      </c>
      <c r="F29">
        <v>493</v>
      </c>
      <c r="G29" s="1">
        <v>16947.152891601902</v>
      </c>
      <c r="H29" s="1">
        <v>1.24110500593949E-2</v>
      </c>
      <c r="I29">
        <v>76.704999999999998</v>
      </c>
      <c r="J29">
        <v>17.7</v>
      </c>
      <c r="K29">
        <v>110.944716936999</v>
      </c>
      <c r="R29">
        <v>110.94499999999999</v>
      </c>
      <c r="S29">
        <v>20260407</v>
      </c>
      <c r="T29">
        <v>185937</v>
      </c>
      <c r="U29">
        <f t="shared" si="3"/>
        <v>0.93473022613150003</v>
      </c>
    </row>
    <row r="30" spans="1:22" x14ac:dyDescent="0.25">
      <c r="A30" t="s">
        <v>34</v>
      </c>
      <c r="B30" t="s">
        <v>21</v>
      </c>
      <c r="C30">
        <v>12454</v>
      </c>
      <c r="D30">
        <v>11828</v>
      </c>
      <c r="E30">
        <v>1080</v>
      </c>
      <c r="F30">
        <v>208</v>
      </c>
      <c r="G30" s="1">
        <v>55592.036459183197</v>
      </c>
      <c r="H30" s="1">
        <v>1.04012827084609E-5</v>
      </c>
      <c r="I30">
        <v>261.02600000000001</v>
      </c>
      <c r="J30">
        <v>587.78899999999999</v>
      </c>
      <c r="L30">
        <v>2.0221390000000299</v>
      </c>
      <c r="M30">
        <v>851.95746999999994</v>
      </c>
      <c r="N30">
        <v>309215</v>
      </c>
      <c r="O30">
        <v>12454</v>
      </c>
      <c r="P30">
        <v>318599</v>
      </c>
      <c r="Q30">
        <v>12908</v>
      </c>
      <c r="R30">
        <v>853.98</v>
      </c>
      <c r="S30">
        <v>20260407</v>
      </c>
      <c r="T30">
        <v>144428</v>
      </c>
      <c r="U30">
        <f t="shared" si="3"/>
        <v>7.1949246790011125</v>
      </c>
    </row>
    <row r="31" spans="1:22" x14ac:dyDescent="0.25">
      <c r="A31" t="s">
        <v>34</v>
      </c>
      <c r="B31" t="s">
        <v>21</v>
      </c>
      <c r="C31">
        <v>12454</v>
      </c>
      <c r="D31">
        <v>11828</v>
      </c>
      <c r="E31">
        <v>1080</v>
      </c>
      <c r="F31">
        <v>208</v>
      </c>
      <c r="G31" s="1">
        <v>55592.036459183197</v>
      </c>
      <c r="H31" s="1">
        <v>1.04012827084609E-5</v>
      </c>
      <c r="I31">
        <v>266.91500000000002</v>
      </c>
      <c r="J31">
        <v>605.39800000000002</v>
      </c>
      <c r="L31">
        <v>2.0161920000001601</v>
      </c>
      <c r="M31">
        <v>885.88641799999903</v>
      </c>
      <c r="N31">
        <v>309215</v>
      </c>
      <c r="O31">
        <v>12454</v>
      </c>
      <c r="P31">
        <v>318599</v>
      </c>
      <c r="Q31">
        <v>12908</v>
      </c>
      <c r="R31">
        <v>887.90300000000002</v>
      </c>
      <c r="S31">
        <v>20260407</v>
      </c>
      <c r="T31">
        <v>155047</v>
      </c>
      <c r="U31">
        <f t="shared" si="3"/>
        <v>7.4807316415596681</v>
      </c>
    </row>
    <row r="32" spans="1:22" x14ac:dyDescent="0.25">
      <c r="A32" t="s">
        <v>34</v>
      </c>
      <c r="B32" t="s">
        <v>21</v>
      </c>
      <c r="C32">
        <v>12454</v>
      </c>
      <c r="D32">
        <v>11828</v>
      </c>
      <c r="E32">
        <v>1080</v>
      </c>
      <c r="F32">
        <v>208</v>
      </c>
      <c r="G32" s="1">
        <v>55592.036459183197</v>
      </c>
      <c r="H32" s="1">
        <v>1.04012827084609E-5</v>
      </c>
      <c r="I32">
        <v>268.64400000000001</v>
      </c>
      <c r="J32">
        <v>604.81600000000003</v>
      </c>
      <c r="L32">
        <v>2.0153869999999099</v>
      </c>
      <c r="M32">
        <v>889.57182799999998</v>
      </c>
      <c r="N32">
        <v>309215</v>
      </c>
      <c r="O32">
        <v>12454</v>
      </c>
      <c r="P32">
        <v>318599</v>
      </c>
      <c r="Q32">
        <v>12908</v>
      </c>
      <c r="R32">
        <v>891.58699999999999</v>
      </c>
      <c r="S32">
        <v>20260407</v>
      </c>
      <c r="T32">
        <v>165800</v>
      </c>
      <c r="U32">
        <f t="shared" si="3"/>
        <v>7.5117699592221889</v>
      </c>
    </row>
    <row r="33" spans="1:22" x14ac:dyDescent="0.25">
      <c r="A33" t="s">
        <v>34</v>
      </c>
      <c r="B33" t="s">
        <v>21</v>
      </c>
      <c r="C33">
        <v>12454</v>
      </c>
      <c r="D33">
        <v>11828</v>
      </c>
      <c r="E33">
        <v>1080</v>
      </c>
      <c r="F33">
        <v>208</v>
      </c>
      <c r="G33" s="1">
        <v>55592.036459183197</v>
      </c>
      <c r="H33" s="1">
        <v>1.04012827084609E-5</v>
      </c>
      <c r="I33">
        <v>268.78100000000001</v>
      </c>
      <c r="J33">
        <v>605.16700000000003</v>
      </c>
      <c r="L33">
        <v>2.13680099999999</v>
      </c>
      <c r="M33">
        <v>883.08628099999999</v>
      </c>
      <c r="N33">
        <v>309215</v>
      </c>
      <c r="O33">
        <v>12454</v>
      </c>
      <c r="P33">
        <v>318599</v>
      </c>
      <c r="Q33">
        <v>12908</v>
      </c>
      <c r="R33">
        <v>885.22299999999996</v>
      </c>
      <c r="S33">
        <v>20260407</v>
      </c>
      <c r="T33">
        <v>180520</v>
      </c>
      <c r="U33">
        <f t="shared" si="3"/>
        <v>7.4581521922286251</v>
      </c>
    </row>
    <row r="34" spans="1:22" x14ac:dyDescent="0.25">
      <c r="A34" t="s">
        <v>26</v>
      </c>
      <c r="B34" t="s">
        <v>25</v>
      </c>
      <c r="C34">
        <v>3400</v>
      </c>
      <c r="D34">
        <v>2787</v>
      </c>
      <c r="E34">
        <v>1180</v>
      </c>
      <c r="F34">
        <v>398</v>
      </c>
      <c r="G34" s="1">
        <v>19921.461898401099</v>
      </c>
      <c r="H34" s="1">
        <v>1.20547489525083E-2</v>
      </c>
      <c r="I34">
        <v>82.41</v>
      </c>
      <c r="J34">
        <v>12.503</v>
      </c>
      <c r="K34">
        <v>109.956561868999</v>
      </c>
      <c r="R34">
        <v>109.95699999999999</v>
      </c>
      <c r="S34">
        <v>20260407</v>
      </c>
      <c r="T34">
        <v>153756</v>
      </c>
      <c r="U34">
        <f>R34/R$34</f>
        <v>1</v>
      </c>
      <c r="V34">
        <f>SUM(U38:U41)/SUM(U34:U37)</f>
        <v>4.119386934915493</v>
      </c>
    </row>
    <row r="35" spans="1:22" x14ac:dyDescent="0.25">
      <c r="A35" t="s">
        <v>26</v>
      </c>
      <c r="B35" t="s">
        <v>25</v>
      </c>
      <c r="C35">
        <v>3400</v>
      </c>
      <c r="D35">
        <v>2787</v>
      </c>
      <c r="E35">
        <v>1180</v>
      </c>
      <c r="F35">
        <v>398</v>
      </c>
      <c r="G35" s="1">
        <v>19921.461898401099</v>
      </c>
      <c r="H35" s="1">
        <v>1.20547489525083E-2</v>
      </c>
      <c r="I35">
        <v>81.177000000000007</v>
      </c>
      <c r="J35">
        <v>12.37</v>
      </c>
      <c r="K35">
        <v>115.176365283999</v>
      </c>
      <c r="R35">
        <v>115.176</v>
      </c>
      <c r="S35">
        <v>20260407</v>
      </c>
      <c r="T35">
        <v>164510</v>
      </c>
      <c r="U35">
        <f t="shared" ref="U35:U41" si="4">R35/R$34</f>
        <v>1.0474640086579301</v>
      </c>
    </row>
    <row r="36" spans="1:22" x14ac:dyDescent="0.25">
      <c r="A36" t="s">
        <v>26</v>
      </c>
      <c r="B36" t="s">
        <v>25</v>
      </c>
      <c r="C36">
        <v>3400</v>
      </c>
      <c r="D36">
        <v>2787</v>
      </c>
      <c r="E36">
        <v>1180</v>
      </c>
      <c r="F36">
        <v>398</v>
      </c>
      <c r="G36" s="1">
        <v>19921.461898401099</v>
      </c>
      <c r="H36" s="1">
        <v>1.20547489525083E-2</v>
      </c>
      <c r="I36">
        <v>81.025999999999996</v>
      </c>
      <c r="J36">
        <v>12.16</v>
      </c>
      <c r="K36">
        <v>117.022682848999</v>
      </c>
      <c r="R36">
        <v>117.023</v>
      </c>
      <c r="S36">
        <v>20260407</v>
      </c>
      <c r="T36">
        <v>175228</v>
      </c>
      <c r="U36">
        <f t="shared" si="4"/>
        <v>1.064261484034668</v>
      </c>
    </row>
    <row r="37" spans="1:22" x14ac:dyDescent="0.25">
      <c r="A37" t="s">
        <v>26</v>
      </c>
      <c r="B37" t="s">
        <v>25</v>
      </c>
      <c r="C37">
        <v>3400</v>
      </c>
      <c r="D37">
        <v>2787</v>
      </c>
      <c r="E37">
        <v>1180</v>
      </c>
      <c r="F37">
        <v>398</v>
      </c>
      <c r="G37" s="1">
        <v>19921.461898401099</v>
      </c>
      <c r="H37" s="1">
        <v>1.20547489525083E-2</v>
      </c>
      <c r="I37">
        <v>80.575000000000003</v>
      </c>
      <c r="J37">
        <v>12.352</v>
      </c>
      <c r="K37">
        <v>114.435428025997</v>
      </c>
      <c r="R37">
        <v>114.435</v>
      </c>
      <c r="S37">
        <v>20260407</v>
      </c>
      <c r="T37">
        <v>185937</v>
      </c>
      <c r="U37">
        <f t="shared" si="4"/>
        <v>1.0407250106859955</v>
      </c>
    </row>
    <row r="38" spans="1:22" x14ac:dyDescent="0.25">
      <c r="A38" t="s">
        <v>35</v>
      </c>
      <c r="B38" t="s">
        <v>21</v>
      </c>
      <c r="C38">
        <v>3106</v>
      </c>
      <c r="D38">
        <v>2480</v>
      </c>
      <c r="E38">
        <v>1080</v>
      </c>
      <c r="F38">
        <v>146</v>
      </c>
      <c r="G38" s="1">
        <v>14277.068949340999</v>
      </c>
      <c r="H38" s="1">
        <v>1.10965625133019E-7</v>
      </c>
      <c r="I38">
        <v>43.384</v>
      </c>
      <c r="J38">
        <v>416.22500000000002</v>
      </c>
      <c r="L38">
        <v>1.9141759999999399</v>
      </c>
      <c r="M38">
        <v>462.22932800000001</v>
      </c>
      <c r="N38">
        <v>288365</v>
      </c>
      <c r="O38">
        <v>3106</v>
      </c>
      <c r="P38">
        <v>292349</v>
      </c>
      <c r="Q38">
        <v>3560</v>
      </c>
      <c r="R38">
        <v>464.14400000000001</v>
      </c>
      <c r="S38">
        <v>20260407</v>
      </c>
      <c r="T38">
        <v>144428</v>
      </c>
      <c r="U38">
        <f t="shared" si="4"/>
        <v>4.221140991478487</v>
      </c>
    </row>
    <row r="39" spans="1:22" x14ac:dyDescent="0.25">
      <c r="A39" t="s">
        <v>35</v>
      </c>
      <c r="B39" t="s">
        <v>21</v>
      </c>
      <c r="C39">
        <v>3106</v>
      </c>
      <c r="D39">
        <v>2480</v>
      </c>
      <c r="E39">
        <v>1080</v>
      </c>
      <c r="F39">
        <v>146</v>
      </c>
      <c r="G39" s="1">
        <v>14277.068949340999</v>
      </c>
      <c r="H39" s="1">
        <v>1.10965625133019E-7</v>
      </c>
      <c r="I39">
        <v>43.69</v>
      </c>
      <c r="J39">
        <v>423.44200000000001</v>
      </c>
      <c r="L39">
        <v>1.9036650000000399</v>
      </c>
      <c r="M39">
        <v>470.12766299999998</v>
      </c>
      <c r="N39">
        <v>288365</v>
      </c>
      <c r="O39">
        <v>3106</v>
      </c>
      <c r="P39">
        <v>292349</v>
      </c>
      <c r="Q39">
        <v>3560</v>
      </c>
      <c r="R39">
        <v>472.03100000000001</v>
      </c>
      <c r="S39">
        <v>20260407</v>
      </c>
      <c r="T39">
        <v>155047</v>
      </c>
      <c r="U39">
        <f t="shared" si="4"/>
        <v>4.2928690306210608</v>
      </c>
    </row>
    <row r="40" spans="1:22" x14ac:dyDescent="0.25">
      <c r="A40" t="s">
        <v>35</v>
      </c>
      <c r="B40" t="s">
        <v>21</v>
      </c>
      <c r="C40">
        <v>3106</v>
      </c>
      <c r="D40">
        <v>2480</v>
      </c>
      <c r="E40">
        <v>1080</v>
      </c>
      <c r="F40">
        <v>146</v>
      </c>
      <c r="G40" s="1">
        <v>14277.068949340999</v>
      </c>
      <c r="H40" s="1">
        <v>1.10965625133019E-7</v>
      </c>
      <c r="I40">
        <v>43.83</v>
      </c>
      <c r="J40">
        <v>423.33100000000002</v>
      </c>
      <c r="L40">
        <v>1.9096600000000299</v>
      </c>
      <c r="M40">
        <v>470.55536999999998</v>
      </c>
      <c r="N40">
        <v>288365</v>
      </c>
      <c r="O40">
        <v>3106</v>
      </c>
      <c r="P40">
        <v>292349</v>
      </c>
      <c r="Q40">
        <v>3560</v>
      </c>
      <c r="R40">
        <v>472.46499999999997</v>
      </c>
      <c r="S40">
        <v>20260407</v>
      </c>
      <c r="T40">
        <v>165800</v>
      </c>
      <c r="U40">
        <f t="shared" si="4"/>
        <v>4.2968160280837058</v>
      </c>
    </row>
    <row r="41" spans="1:22" x14ac:dyDescent="0.25">
      <c r="A41" t="s">
        <v>35</v>
      </c>
      <c r="B41" t="s">
        <v>21</v>
      </c>
      <c r="C41">
        <v>3106</v>
      </c>
      <c r="D41">
        <v>2480</v>
      </c>
      <c r="E41">
        <v>1080</v>
      </c>
      <c r="F41">
        <v>146</v>
      </c>
      <c r="G41" s="1">
        <v>14277.068949340999</v>
      </c>
      <c r="H41" s="1">
        <v>1.10965625133019E-7</v>
      </c>
      <c r="I41">
        <v>43.753999999999998</v>
      </c>
      <c r="J41">
        <v>423.51100000000002</v>
      </c>
      <c r="L41">
        <v>1.95048000000002</v>
      </c>
      <c r="M41">
        <v>470.284709999999</v>
      </c>
      <c r="N41">
        <v>288365</v>
      </c>
      <c r="O41">
        <v>3106</v>
      </c>
      <c r="P41">
        <v>292349</v>
      </c>
      <c r="Q41">
        <v>3560</v>
      </c>
      <c r="R41">
        <v>472.23500000000001</v>
      </c>
      <c r="S41">
        <v>20260407</v>
      </c>
      <c r="T41">
        <v>180520</v>
      </c>
      <c r="U41">
        <f t="shared" si="4"/>
        <v>4.294724301317788</v>
      </c>
    </row>
    <row r="42" spans="1:22" x14ac:dyDescent="0.25">
      <c r="A42" t="s">
        <v>27</v>
      </c>
      <c r="B42" t="s">
        <v>21</v>
      </c>
      <c r="C42">
        <v>3400</v>
      </c>
      <c r="D42">
        <v>2787</v>
      </c>
      <c r="E42">
        <v>1180</v>
      </c>
      <c r="F42">
        <v>330</v>
      </c>
      <c r="G42" s="1">
        <v>13127.3748913159</v>
      </c>
      <c r="H42" s="1">
        <v>1.41271641607154E-7</v>
      </c>
      <c r="I42">
        <v>41.170999999999999</v>
      </c>
      <c r="J42">
        <v>11.456</v>
      </c>
      <c r="K42">
        <v>66.068690688999595</v>
      </c>
      <c r="R42">
        <v>66.068700000000007</v>
      </c>
      <c r="S42">
        <v>20260407</v>
      </c>
      <c r="T42">
        <v>153756</v>
      </c>
      <c r="U42">
        <f>R42/R$42</f>
        <v>1</v>
      </c>
      <c r="V42">
        <f>SUM(U46:U49)/SUM(U42:U45)</f>
        <v>9.5439251465399231</v>
      </c>
    </row>
    <row r="43" spans="1:22" x14ac:dyDescent="0.25">
      <c r="A43" t="s">
        <v>27</v>
      </c>
      <c r="B43" t="s">
        <v>21</v>
      </c>
      <c r="C43">
        <v>3400</v>
      </c>
      <c r="D43">
        <v>2787</v>
      </c>
      <c r="E43">
        <v>1180</v>
      </c>
      <c r="F43">
        <v>330</v>
      </c>
      <c r="G43" s="1">
        <v>13127.3748913159</v>
      </c>
      <c r="H43" s="1">
        <v>1.41271641607154E-7</v>
      </c>
      <c r="I43">
        <v>41.161000000000001</v>
      </c>
      <c r="J43">
        <v>11.481999999999999</v>
      </c>
      <c r="K43">
        <v>66.889217756999599</v>
      </c>
      <c r="R43">
        <v>66.889200000000002</v>
      </c>
      <c r="S43">
        <v>20260407</v>
      </c>
      <c r="T43">
        <v>164510</v>
      </c>
      <c r="U43">
        <f t="shared" ref="U43:U49" si="5">R43/R$42</f>
        <v>1.0124188912450223</v>
      </c>
    </row>
    <row r="44" spans="1:22" x14ac:dyDescent="0.25">
      <c r="A44" t="s">
        <v>27</v>
      </c>
      <c r="B44" t="s">
        <v>21</v>
      </c>
      <c r="C44">
        <v>3400</v>
      </c>
      <c r="D44">
        <v>2787</v>
      </c>
      <c r="E44">
        <v>1180</v>
      </c>
      <c r="F44">
        <v>330</v>
      </c>
      <c r="G44" s="1">
        <v>13127.3748913159</v>
      </c>
      <c r="H44" s="1">
        <v>1.41271641607154E-7</v>
      </c>
      <c r="I44">
        <v>41.167999999999999</v>
      </c>
      <c r="J44">
        <v>11.394</v>
      </c>
      <c r="K44">
        <v>67.264634314000403</v>
      </c>
      <c r="R44">
        <v>67.264600000000002</v>
      </c>
      <c r="S44">
        <v>20260407</v>
      </c>
      <c r="T44">
        <v>175228</v>
      </c>
      <c r="U44">
        <f t="shared" si="5"/>
        <v>1.0181008556245241</v>
      </c>
    </row>
    <row r="45" spans="1:22" x14ac:dyDescent="0.25">
      <c r="A45" t="s">
        <v>27</v>
      </c>
      <c r="B45" t="s">
        <v>21</v>
      </c>
      <c r="C45">
        <v>3400</v>
      </c>
      <c r="D45">
        <v>2787</v>
      </c>
      <c r="E45">
        <v>1180</v>
      </c>
      <c r="F45">
        <v>330</v>
      </c>
      <c r="G45" s="1">
        <v>13127.3748913159</v>
      </c>
      <c r="H45" s="1">
        <v>1.41271641607154E-7</v>
      </c>
      <c r="I45">
        <v>41.021999999999998</v>
      </c>
      <c r="J45">
        <v>11.423</v>
      </c>
      <c r="K45">
        <v>65.865438943998001</v>
      </c>
      <c r="R45">
        <v>65.865399999999994</v>
      </c>
      <c r="S45">
        <v>20260407</v>
      </c>
      <c r="T45">
        <v>185937</v>
      </c>
      <c r="U45">
        <f t="shared" si="5"/>
        <v>0.99692289995111127</v>
      </c>
    </row>
    <row r="46" spans="1:22" x14ac:dyDescent="0.25">
      <c r="A46" t="s">
        <v>36</v>
      </c>
      <c r="B46" t="s">
        <v>21</v>
      </c>
      <c r="C46">
        <v>12436</v>
      </c>
      <c r="D46">
        <v>11810</v>
      </c>
      <c r="E46">
        <v>1080</v>
      </c>
      <c r="F46">
        <v>189</v>
      </c>
      <c r="G46" s="1">
        <v>55595.282261664499</v>
      </c>
      <c r="H46" s="1">
        <v>2.9638351906502399E-5</v>
      </c>
      <c r="I46">
        <v>71.489999999999995</v>
      </c>
      <c r="J46">
        <v>552.23299999999995</v>
      </c>
      <c r="L46">
        <v>1.9981480000001199</v>
      </c>
      <c r="M46">
        <v>627.06018399999903</v>
      </c>
      <c r="N46">
        <v>309215</v>
      </c>
      <c r="O46">
        <v>12436</v>
      </c>
      <c r="P46">
        <v>318599</v>
      </c>
      <c r="Q46">
        <v>12890</v>
      </c>
      <c r="R46">
        <v>629.05799999999999</v>
      </c>
      <c r="S46">
        <v>20260407</v>
      </c>
      <c r="T46">
        <v>144428</v>
      </c>
      <c r="U46">
        <f t="shared" si="5"/>
        <v>9.5212710405986485</v>
      </c>
    </row>
    <row r="47" spans="1:22" x14ac:dyDescent="0.25">
      <c r="A47" t="s">
        <v>36</v>
      </c>
      <c r="B47" t="s">
        <v>21</v>
      </c>
      <c r="C47">
        <v>12436</v>
      </c>
      <c r="D47">
        <v>11810</v>
      </c>
      <c r="E47">
        <v>1080</v>
      </c>
      <c r="F47">
        <v>189</v>
      </c>
      <c r="G47" s="1">
        <v>55595.282261664499</v>
      </c>
      <c r="H47" s="1">
        <v>2.9638351906502399E-5</v>
      </c>
      <c r="I47">
        <v>71.984999999999999</v>
      </c>
      <c r="J47">
        <v>557.10900000000004</v>
      </c>
      <c r="L47">
        <v>2.00719600000002</v>
      </c>
      <c r="M47">
        <v>634.38475499999902</v>
      </c>
      <c r="N47">
        <v>309215</v>
      </c>
      <c r="O47">
        <v>12436</v>
      </c>
      <c r="P47">
        <v>318599</v>
      </c>
      <c r="Q47">
        <v>12890</v>
      </c>
      <c r="R47">
        <v>636.39200000000005</v>
      </c>
      <c r="S47">
        <v>20260407</v>
      </c>
      <c r="T47">
        <v>155047</v>
      </c>
      <c r="U47">
        <f t="shared" si="5"/>
        <v>9.6322767059136929</v>
      </c>
    </row>
    <row r="48" spans="1:22" x14ac:dyDescent="0.25">
      <c r="A48" t="s">
        <v>36</v>
      </c>
      <c r="B48" t="s">
        <v>21</v>
      </c>
      <c r="C48">
        <v>12436</v>
      </c>
      <c r="D48">
        <v>11810</v>
      </c>
      <c r="E48">
        <v>1080</v>
      </c>
      <c r="F48">
        <v>189</v>
      </c>
      <c r="G48" s="1">
        <v>55595.282261664499</v>
      </c>
      <c r="H48" s="1">
        <v>2.9638351906502399E-5</v>
      </c>
      <c r="I48">
        <v>71.977000000000004</v>
      </c>
      <c r="J48">
        <v>558.76300000000003</v>
      </c>
      <c r="L48">
        <v>2.01064899999994</v>
      </c>
      <c r="M48">
        <v>634.724288</v>
      </c>
      <c r="N48">
        <v>309215</v>
      </c>
      <c r="O48">
        <v>12436</v>
      </c>
      <c r="P48">
        <v>318599</v>
      </c>
      <c r="Q48">
        <v>12890</v>
      </c>
      <c r="R48">
        <v>636.73500000000001</v>
      </c>
      <c r="S48">
        <v>20260407</v>
      </c>
      <c r="T48">
        <v>165800</v>
      </c>
      <c r="U48">
        <f t="shared" si="5"/>
        <v>9.6374682716626783</v>
      </c>
    </row>
    <row r="49" spans="1:22" x14ac:dyDescent="0.25">
      <c r="A49" t="s">
        <v>36</v>
      </c>
      <c r="B49" t="s">
        <v>21</v>
      </c>
      <c r="C49">
        <v>12436</v>
      </c>
      <c r="D49">
        <v>11810</v>
      </c>
      <c r="E49">
        <v>1080</v>
      </c>
      <c r="F49">
        <v>189</v>
      </c>
      <c r="G49" s="1">
        <v>55595.282261664499</v>
      </c>
      <c r="H49" s="1">
        <v>2.9638351906502399E-5</v>
      </c>
      <c r="I49">
        <v>72.087999999999994</v>
      </c>
      <c r="J49">
        <v>559.14700000000005</v>
      </c>
      <c r="L49">
        <v>1.98976200000004</v>
      </c>
      <c r="M49">
        <v>635.34858899999995</v>
      </c>
      <c r="N49">
        <v>309215</v>
      </c>
      <c r="O49">
        <v>12436</v>
      </c>
      <c r="P49">
        <v>318599</v>
      </c>
      <c r="Q49">
        <v>12890</v>
      </c>
      <c r="R49">
        <v>637.33799999999997</v>
      </c>
      <c r="S49">
        <v>20260407</v>
      </c>
      <c r="T49">
        <v>180520</v>
      </c>
      <c r="U49">
        <f t="shared" si="5"/>
        <v>9.6465951350639543</v>
      </c>
    </row>
    <row r="50" spans="1:22" x14ac:dyDescent="0.25">
      <c r="A50" t="s">
        <v>28</v>
      </c>
      <c r="B50" t="s">
        <v>21</v>
      </c>
      <c r="C50">
        <v>8950</v>
      </c>
      <c r="D50">
        <v>8337</v>
      </c>
      <c r="E50">
        <v>1180</v>
      </c>
      <c r="F50">
        <v>812</v>
      </c>
      <c r="G50" s="1">
        <v>13089.904398831201</v>
      </c>
      <c r="H50" s="1">
        <v>5.02701287041773E-7</v>
      </c>
      <c r="I50">
        <v>99.087000000000003</v>
      </c>
      <c r="J50">
        <v>27.827999999999999</v>
      </c>
      <c r="K50">
        <v>152.874572355</v>
      </c>
      <c r="R50">
        <v>152.875</v>
      </c>
      <c r="S50">
        <v>20260407</v>
      </c>
      <c r="T50">
        <v>153756</v>
      </c>
      <c r="U50">
        <f>R50/R$50</f>
        <v>1</v>
      </c>
      <c r="V50">
        <f>SUM(U54:U57)/SUM(U50:U53)</f>
        <v>2.6213127149277642</v>
      </c>
    </row>
    <row r="51" spans="1:22" x14ac:dyDescent="0.25">
      <c r="A51" t="s">
        <v>28</v>
      </c>
      <c r="B51" t="s">
        <v>21</v>
      </c>
      <c r="C51">
        <v>8950</v>
      </c>
      <c r="D51">
        <v>8337</v>
      </c>
      <c r="E51">
        <v>1180</v>
      </c>
      <c r="F51">
        <v>812</v>
      </c>
      <c r="G51" s="1">
        <v>13089.904398831201</v>
      </c>
      <c r="H51" s="1">
        <v>5.02701287041773E-7</v>
      </c>
      <c r="I51">
        <v>100.922</v>
      </c>
      <c r="J51">
        <v>28.068999999999999</v>
      </c>
      <c r="K51">
        <v>145.96555438799899</v>
      </c>
      <c r="R51">
        <v>145.96600000000001</v>
      </c>
      <c r="S51">
        <v>20260407</v>
      </c>
      <c r="T51">
        <v>164510</v>
      </c>
      <c r="U51">
        <f t="shared" ref="U51:U57" si="6">R51/R$50</f>
        <v>0.95480621422730994</v>
      </c>
    </row>
    <row r="52" spans="1:22" x14ac:dyDescent="0.25">
      <c r="A52" t="s">
        <v>28</v>
      </c>
      <c r="B52" t="s">
        <v>21</v>
      </c>
      <c r="C52">
        <v>8950</v>
      </c>
      <c r="D52">
        <v>8337</v>
      </c>
      <c r="E52">
        <v>1180</v>
      </c>
      <c r="F52">
        <v>812</v>
      </c>
      <c r="G52" s="1">
        <v>13089.904398831201</v>
      </c>
      <c r="H52" s="1">
        <v>5.02701287041773E-7</v>
      </c>
      <c r="I52">
        <v>99.850999999999999</v>
      </c>
      <c r="J52">
        <v>27.853999999999999</v>
      </c>
      <c r="K52">
        <v>147.40212592699899</v>
      </c>
      <c r="R52">
        <v>147.40199999999999</v>
      </c>
      <c r="S52">
        <v>20260407</v>
      </c>
      <c r="T52">
        <v>175228</v>
      </c>
      <c r="U52">
        <f t="shared" si="6"/>
        <v>0.96419950940310706</v>
      </c>
    </row>
    <row r="53" spans="1:22" x14ac:dyDescent="0.25">
      <c r="A53" t="s">
        <v>28</v>
      </c>
      <c r="B53" t="s">
        <v>21</v>
      </c>
      <c r="C53">
        <v>8950</v>
      </c>
      <c r="D53">
        <v>8337</v>
      </c>
      <c r="E53">
        <v>1180</v>
      </c>
      <c r="F53">
        <v>812</v>
      </c>
      <c r="G53" s="1">
        <v>13089.904398831201</v>
      </c>
      <c r="H53" s="1">
        <v>5.02701287041773E-7</v>
      </c>
      <c r="I53">
        <v>100.56100000000001</v>
      </c>
      <c r="J53">
        <v>27.954000000000001</v>
      </c>
      <c r="K53">
        <v>144.94449352599901</v>
      </c>
      <c r="R53">
        <v>144.94399999999999</v>
      </c>
      <c r="S53">
        <v>20260407</v>
      </c>
      <c r="T53">
        <v>185937</v>
      </c>
      <c r="U53">
        <f t="shared" si="6"/>
        <v>0.94812101390024517</v>
      </c>
    </row>
    <row r="54" spans="1:22" x14ac:dyDescent="0.25">
      <c r="A54" t="s">
        <v>37</v>
      </c>
      <c r="B54" t="s">
        <v>21</v>
      </c>
      <c r="C54">
        <v>12454</v>
      </c>
      <c r="D54">
        <v>11828</v>
      </c>
      <c r="E54">
        <v>1080</v>
      </c>
      <c r="F54">
        <v>117</v>
      </c>
      <c r="G54" s="1">
        <v>49601.401976387897</v>
      </c>
      <c r="H54" s="1">
        <v>5.1880717304442197E-6</v>
      </c>
      <c r="I54">
        <v>38.722999999999999</v>
      </c>
      <c r="J54">
        <v>342.47899999999998</v>
      </c>
      <c r="L54">
        <v>1.98276600000008</v>
      </c>
      <c r="M54">
        <v>384.105965999999</v>
      </c>
      <c r="N54">
        <v>309215</v>
      </c>
      <c r="O54">
        <v>12454</v>
      </c>
      <c r="P54">
        <v>318599</v>
      </c>
      <c r="Q54">
        <v>12908</v>
      </c>
      <c r="R54">
        <v>386.089</v>
      </c>
      <c r="S54">
        <v>20260407</v>
      </c>
      <c r="T54">
        <v>144428</v>
      </c>
      <c r="U54">
        <f t="shared" si="6"/>
        <v>2.5255208503679478</v>
      </c>
    </row>
    <row r="55" spans="1:22" x14ac:dyDescent="0.25">
      <c r="A55" t="s">
        <v>37</v>
      </c>
      <c r="B55" t="s">
        <v>21</v>
      </c>
      <c r="C55">
        <v>12454</v>
      </c>
      <c r="D55">
        <v>11828</v>
      </c>
      <c r="E55">
        <v>1080</v>
      </c>
      <c r="F55">
        <v>117</v>
      </c>
      <c r="G55" s="1">
        <v>49601.401976387897</v>
      </c>
      <c r="H55" s="1">
        <v>5.1880717304442197E-6</v>
      </c>
      <c r="I55">
        <v>39.048999999999999</v>
      </c>
      <c r="J55">
        <v>343.887</v>
      </c>
      <c r="L55">
        <v>2.02861800000005</v>
      </c>
      <c r="M55">
        <v>386.576042999999</v>
      </c>
      <c r="N55">
        <v>309215</v>
      </c>
      <c r="O55">
        <v>12454</v>
      </c>
      <c r="P55">
        <v>318599</v>
      </c>
      <c r="Q55">
        <v>12908</v>
      </c>
      <c r="R55">
        <v>388.60500000000002</v>
      </c>
      <c r="S55">
        <v>20260407</v>
      </c>
      <c r="T55">
        <v>155047</v>
      </c>
      <c r="U55">
        <f t="shared" si="6"/>
        <v>2.5419787408013086</v>
      </c>
    </row>
    <row r="56" spans="1:22" x14ac:dyDescent="0.25">
      <c r="A56" t="s">
        <v>37</v>
      </c>
      <c r="B56" t="s">
        <v>21</v>
      </c>
      <c r="C56">
        <v>12454</v>
      </c>
      <c r="D56">
        <v>11828</v>
      </c>
      <c r="E56">
        <v>1080</v>
      </c>
      <c r="F56">
        <v>117</v>
      </c>
      <c r="G56" s="1">
        <v>49601.401976387897</v>
      </c>
      <c r="H56" s="1">
        <v>5.1880717304442197E-6</v>
      </c>
      <c r="I56">
        <v>39.018000000000001</v>
      </c>
      <c r="J56">
        <v>344.935</v>
      </c>
      <c r="L56">
        <v>1.99972200000001</v>
      </c>
      <c r="M56">
        <v>387.17596600000002</v>
      </c>
      <c r="N56">
        <v>309215</v>
      </c>
      <c r="O56">
        <v>12454</v>
      </c>
      <c r="P56">
        <v>318599</v>
      </c>
      <c r="Q56">
        <v>12908</v>
      </c>
      <c r="R56">
        <v>389.17599999999999</v>
      </c>
      <c r="S56">
        <v>20260407</v>
      </c>
      <c r="T56">
        <v>165800</v>
      </c>
      <c r="U56">
        <f t="shared" si="6"/>
        <v>2.5457138184791495</v>
      </c>
    </row>
    <row r="57" spans="1:22" x14ac:dyDescent="0.25">
      <c r="A57" t="s">
        <v>37</v>
      </c>
      <c r="B57" t="s">
        <v>21</v>
      </c>
      <c r="C57">
        <v>12454</v>
      </c>
      <c r="D57">
        <v>11828</v>
      </c>
      <c r="E57">
        <v>1080</v>
      </c>
      <c r="F57">
        <v>117</v>
      </c>
      <c r="G57" s="1">
        <v>49601.401976387897</v>
      </c>
      <c r="H57" s="1">
        <v>5.1880717304442197E-6</v>
      </c>
      <c r="I57">
        <v>38.771999999999998</v>
      </c>
      <c r="J57">
        <v>342.24</v>
      </c>
      <c r="L57">
        <v>1.98589700000002</v>
      </c>
      <c r="M57">
        <v>383.83036199999998</v>
      </c>
      <c r="N57">
        <v>309215</v>
      </c>
      <c r="O57">
        <v>12454</v>
      </c>
      <c r="P57">
        <v>318599</v>
      </c>
      <c r="Q57">
        <v>12908</v>
      </c>
      <c r="R57">
        <v>385.81599999999997</v>
      </c>
      <c r="S57">
        <v>20260407</v>
      </c>
      <c r="T57">
        <v>180520</v>
      </c>
      <c r="U57">
        <f t="shared" si="6"/>
        <v>2.5237350776778413</v>
      </c>
    </row>
    <row r="58" spans="1:22" x14ac:dyDescent="0.25">
      <c r="A58" t="s">
        <v>29</v>
      </c>
      <c r="B58" t="s">
        <v>21</v>
      </c>
      <c r="C58">
        <v>3400</v>
      </c>
      <c r="D58">
        <v>2787</v>
      </c>
      <c r="E58">
        <v>1180</v>
      </c>
      <c r="F58">
        <v>1407</v>
      </c>
      <c r="G58" s="1">
        <v>12863.2655518513</v>
      </c>
      <c r="H58" s="1">
        <v>7.0508607963315399E-7</v>
      </c>
      <c r="I58">
        <v>157.90700000000001</v>
      </c>
      <c r="J58">
        <v>46.390999999999998</v>
      </c>
      <c r="K58">
        <v>226.22416796499999</v>
      </c>
      <c r="R58">
        <v>226.22399999999999</v>
      </c>
      <c r="S58">
        <v>20260407</v>
      </c>
      <c r="T58">
        <v>153756</v>
      </c>
      <c r="U58">
        <f>R58/R$58</f>
        <v>1</v>
      </c>
      <c r="V58">
        <f>SUM(U62:U65)/SUM(U58:U61)</f>
        <v>2.0264994342792737</v>
      </c>
    </row>
    <row r="59" spans="1:22" x14ac:dyDescent="0.25">
      <c r="A59" t="s">
        <v>29</v>
      </c>
      <c r="B59" t="s">
        <v>21</v>
      </c>
      <c r="C59">
        <v>3400</v>
      </c>
      <c r="D59">
        <v>2787</v>
      </c>
      <c r="E59">
        <v>1180</v>
      </c>
      <c r="F59">
        <v>1407</v>
      </c>
      <c r="G59" s="1">
        <v>12863.2655518513</v>
      </c>
      <c r="H59" s="1">
        <v>7.0508607963315399E-7</v>
      </c>
      <c r="I59">
        <v>155.79400000000001</v>
      </c>
      <c r="J59">
        <v>46.131999999999998</v>
      </c>
      <c r="K59">
        <v>231.528971269999</v>
      </c>
      <c r="R59">
        <v>231.529</v>
      </c>
      <c r="S59">
        <v>20260407</v>
      </c>
      <c r="T59">
        <v>164510</v>
      </c>
      <c r="U59">
        <f t="shared" ref="U59:U65" si="7">R59/R$58</f>
        <v>1.0234502086427613</v>
      </c>
    </row>
    <row r="60" spans="1:22" x14ac:dyDescent="0.25">
      <c r="A60" t="s">
        <v>29</v>
      </c>
      <c r="B60" t="s">
        <v>21</v>
      </c>
      <c r="C60">
        <v>3400</v>
      </c>
      <c r="D60">
        <v>2787</v>
      </c>
      <c r="E60">
        <v>1180</v>
      </c>
      <c r="F60">
        <v>1407</v>
      </c>
      <c r="G60" s="1">
        <v>12863.2655518513</v>
      </c>
      <c r="H60" s="1">
        <v>7.0508607963315399E-7</v>
      </c>
      <c r="I60">
        <v>157.36000000000001</v>
      </c>
      <c r="J60">
        <v>46.38</v>
      </c>
      <c r="K60">
        <v>226.544774795</v>
      </c>
      <c r="R60">
        <v>226.54499999999999</v>
      </c>
      <c r="S60">
        <v>20260407</v>
      </c>
      <c r="T60">
        <v>175228</v>
      </c>
      <c r="U60">
        <f t="shared" si="7"/>
        <v>1.0014189475917674</v>
      </c>
    </row>
    <row r="61" spans="1:22" x14ac:dyDescent="0.25">
      <c r="A61" t="s">
        <v>29</v>
      </c>
      <c r="B61" t="s">
        <v>21</v>
      </c>
      <c r="C61">
        <v>3400</v>
      </c>
      <c r="D61">
        <v>2787</v>
      </c>
      <c r="E61">
        <v>1180</v>
      </c>
      <c r="F61">
        <v>1407</v>
      </c>
      <c r="G61" s="1">
        <v>12863.2655518513</v>
      </c>
      <c r="H61" s="1">
        <v>7.0508607963315399E-7</v>
      </c>
      <c r="I61">
        <v>156.25</v>
      </c>
      <c r="J61">
        <v>46.023000000000003</v>
      </c>
      <c r="K61">
        <v>226.92932047199699</v>
      </c>
      <c r="R61">
        <v>226.929</v>
      </c>
      <c r="S61">
        <v>20260407</v>
      </c>
      <c r="T61">
        <v>185937</v>
      </c>
      <c r="U61">
        <f t="shared" si="7"/>
        <v>1.0031163802249099</v>
      </c>
    </row>
    <row r="62" spans="1:22" x14ac:dyDescent="0.25">
      <c r="A62" t="s">
        <v>38</v>
      </c>
      <c r="B62" t="s">
        <v>21</v>
      </c>
      <c r="C62">
        <v>3106</v>
      </c>
      <c r="D62">
        <v>2480</v>
      </c>
      <c r="E62">
        <v>1080</v>
      </c>
      <c r="F62">
        <v>145</v>
      </c>
      <c r="G62" s="1">
        <v>13039.489384550199</v>
      </c>
      <c r="H62" s="1">
        <v>4.2434776918387198E-8</v>
      </c>
      <c r="I62">
        <v>39.192</v>
      </c>
      <c r="J62">
        <v>415.55700000000002</v>
      </c>
      <c r="L62">
        <v>1.95741900000001</v>
      </c>
      <c r="M62">
        <v>457.629662</v>
      </c>
      <c r="N62">
        <v>288365</v>
      </c>
      <c r="O62">
        <v>3106</v>
      </c>
      <c r="P62">
        <v>292349</v>
      </c>
      <c r="Q62">
        <v>3560</v>
      </c>
      <c r="R62">
        <v>459.58699999999999</v>
      </c>
      <c r="S62">
        <v>20260407</v>
      </c>
      <c r="T62">
        <v>144428</v>
      </c>
      <c r="U62">
        <f t="shared" si="7"/>
        <v>2.031557217625009</v>
      </c>
    </row>
    <row r="63" spans="1:22" x14ac:dyDescent="0.25">
      <c r="A63" t="s">
        <v>38</v>
      </c>
      <c r="B63" t="s">
        <v>21</v>
      </c>
      <c r="C63">
        <v>3106</v>
      </c>
      <c r="D63">
        <v>2480</v>
      </c>
      <c r="E63">
        <v>1080</v>
      </c>
      <c r="F63">
        <v>145</v>
      </c>
      <c r="G63" s="1">
        <v>13039.489384550199</v>
      </c>
      <c r="H63" s="1">
        <v>4.2434776918387198E-8</v>
      </c>
      <c r="I63">
        <v>39.268999999999998</v>
      </c>
      <c r="J63">
        <v>417.57600000000002</v>
      </c>
      <c r="L63">
        <v>1.9991970000000301</v>
      </c>
      <c r="M63">
        <v>460.06580299999899</v>
      </c>
      <c r="N63">
        <v>288365</v>
      </c>
      <c r="O63">
        <v>3106</v>
      </c>
      <c r="P63">
        <v>292349</v>
      </c>
      <c r="Q63">
        <v>3560</v>
      </c>
      <c r="R63">
        <v>462.065</v>
      </c>
      <c r="S63">
        <v>20260407</v>
      </c>
      <c r="T63">
        <v>155047</v>
      </c>
      <c r="U63">
        <f t="shared" si="7"/>
        <v>2.0425109625857556</v>
      </c>
    </row>
    <row r="64" spans="1:22" x14ac:dyDescent="0.25">
      <c r="A64" t="s">
        <v>38</v>
      </c>
      <c r="B64" t="s">
        <v>21</v>
      </c>
      <c r="C64">
        <v>3106</v>
      </c>
      <c r="D64">
        <v>2480</v>
      </c>
      <c r="E64">
        <v>1080</v>
      </c>
      <c r="F64">
        <v>145</v>
      </c>
      <c r="G64" s="1">
        <v>13039.489384550199</v>
      </c>
      <c r="H64" s="1">
        <v>4.2434776918387198E-8</v>
      </c>
      <c r="I64">
        <v>39.468000000000004</v>
      </c>
      <c r="J64">
        <v>418.89699999999999</v>
      </c>
      <c r="L64">
        <v>1.9818250000000099</v>
      </c>
      <c r="M64">
        <v>461.51553899999999</v>
      </c>
      <c r="N64">
        <v>288365</v>
      </c>
      <c r="O64">
        <v>3106</v>
      </c>
      <c r="P64">
        <v>292349</v>
      </c>
      <c r="Q64">
        <v>3560</v>
      </c>
      <c r="R64">
        <v>463.49700000000001</v>
      </c>
      <c r="S64">
        <v>20260407</v>
      </c>
      <c r="T64">
        <v>165800</v>
      </c>
      <c r="U64">
        <f t="shared" si="7"/>
        <v>2.0488409717801828</v>
      </c>
    </row>
    <row r="65" spans="1:22" x14ac:dyDescent="0.25">
      <c r="A65" t="s">
        <v>38</v>
      </c>
      <c r="B65" t="s">
        <v>21</v>
      </c>
      <c r="C65">
        <v>3106</v>
      </c>
      <c r="D65">
        <v>2480</v>
      </c>
      <c r="E65">
        <v>1080</v>
      </c>
      <c r="F65">
        <v>145</v>
      </c>
      <c r="G65" s="1">
        <v>13039.489384550199</v>
      </c>
      <c r="H65" s="1">
        <v>4.2434776918387198E-8</v>
      </c>
      <c r="I65">
        <v>39.335999999999999</v>
      </c>
      <c r="J65">
        <v>417.11599999999999</v>
      </c>
      <c r="L65">
        <v>1.93514099999998</v>
      </c>
      <c r="M65">
        <v>459.51691499999998</v>
      </c>
      <c r="N65">
        <v>288365</v>
      </c>
      <c r="O65">
        <v>3106</v>
      </c>
      <c r="P65">
        <v>292349</v>
      </c>
      <c r="Q65">
        <v>3560</v>
      </c>
      <c r="R65">
        <v>461.452</v>
      </c>
      <c r="S65">
        <v>20260407</v>
      </c>
      <c r="T65">
        <v>180520</v>
      </c>
      <c r="U65">
        <f t="shared" si="7"/>
        <v>2.0398012589292032</v>
      </c>
    </row>
    <row r="66" spans="1:22" x14ac:dyDescent="0.25">
      <c r="A66" t="s">
        <v>30</v>
      </c>
      <c r="B66" t="s">
        <v>21</v>
      </c>
      <c r="C66">
        <v>3400</v>
      </c>
      <c r="D66">
        <v>2787</v>
      </c>
      <c r="E66">
        <v>1180</v>
      </c>
      <c r="F66">
        <v>377</v>
      </c>
      <c r="G66" s="1">
        <v>12461.0682815782</v>
      </c>
      <c r="H66" s="1">
        <v>7.0649189587435004E-7</v>
      </c>
      <c r="I66">
        <v>40.162999999999997</v>
      </c>
      <c r="J66">
        <v>13.124000000000001</v>
      </c>
      <c r="K66">
        <v>67.061701753000307</v>
      </c>
      <c r="R66">
        <v>67.061700000000002</v>
      </c>
      <c r="S66">
        <v>20260407</v>
      </c>
      <c r="T66">
        <v>153756</v>
      </c>
      <c r="U66">
        <f>R66/R$66</f>
        <v>1</v>
      </c>
      <c r="V66">
        <f>SUM(U70:U73)/SUM(U66:U69)</f>
        <v>5.8052921033671909</v>
      </c>
    </row>
    <row r="67" spans="1:22" x14ac:dyDescent="0.25">
      <c r="A67" t="s">
        <v>30</v>
      </c>
      <c r="B67" t="s">
        <v>21</v>
      </c>
      <c r="C67">
        <v>3400</v>
      </c>
      <c r="D67">
        <v>2787</v>
      </c>
      <c r="E67">
        <v>1180</v>
      </c>
      <c r="F67">
        <v>377</v>
      </c>
      <c r="G67" s="1">
        <v>12461.0682815782</v>
      </c>
      <c r="H67" s="1">
        <v>7.0649189587435004E-7</v>
      </c>
      <c r="I67">
        <v>40.097999999999999</v>
      </c>
      <c r="J67">
        <v>13.103</v>
      </c>
      <c r="K67">
        <v>66.274819235999502</v>
      </c>
      <c r="R67">
        <v>66.274799999999999</v>
      </c>
      <c r="S67">
        <v>20260407</v>
      </c>
      <c r="T67">
        <v>164510</v>
      </c>
      <c r="U67">
        <f t="shared" ref="U67:U73" si="8">R67/R$66</f>
        <v>0.98826602964136012</v>
      </c>
    </row>
    <row r="68" spans="1:22" x14ac:dyDescent="0.25">
      <c r="A68" t="s">
        <v>30</v>
      </c>
      <c r="B68" t="s">
        <v>21</v>
      </c>
      <c r="C68">
        <v>3400</v>
      </c>
      <c r="D68">
        <v>2787</v>
      </c>
      <c r="E68">
        <v>1180</v>
      </c>
      <c r="F68">
        <v>377</v>
      </c>
      <c r="G68" s="1">
        <v>12461.0682815782</v>
      </c>
      <c r="H68" s="1">
        <v>7.0649189587435004E-7</v>
      </c>
      <c r="I68">
        <v>40.031999999999996</v>
      </c>
      <c r="J68">
        <v>12.959</v>
      </c>
      <c r="K68">
        <v>66.513640166998798</v>
      </c>
      <c r="R68">
        <v>66.513599999999997</v>
      </c>
      <c r="S68">
        <v>20260407</v>
      </c>
      <c r="T68">
        <v>175228</v>
      </c>
      <c r="U68">
        <f t="shared" si="8"/>
        <v>0.99182692952907536</v>
      </c>
    </row>
    <row r="69" spans="1:22" x14ac:dyDescent="0.25">
      <c r="A69" t="s">
        <v>30</v>
      </c>
      <c r="B69" t="s">
        <v>21</v>
      </c>
      <c r="C69">
        <v>3400</v>
      </c>
      <c r="D69">
        <v>2787</v>
      </c>
      <c r="E69">
        <v>1180</v>
      </c>
      <c r="F69">
        <v>377</v>
      </c>
      <c r="G69" s="1">
        <v>12461.0682815782</v>
      </c>
      <c r="H69" s="1">
        <v>7.0649189587435004E-7</v>
      </c>
      <c r="I69">
        <v>40.363</v>
      </c>
      <c r="J69">
        <v>13.186</v>
      </c>
      <c r="K69">
        <v>67.476534493998699</v>
      </c>
      <c r="R69">
        <v>67.476500000000001</v>
      </c>
      <c r="S69">
        <v>20260407</v>
      </c>
      <c r="T69">
        <v>185937</v>
      </c>
      <c r="U69">
        <f t="shared" si="8"/>
        <v>1.0061853487161823</v>
      </c>
    </row>
    <row r="70" spans="1:22" x14ac:dyDescent="0.25">
      <c r="A70" t="s">
        <v>39</v>
      </c>
      <c r="B70" t="s">
        <v>21</v>
      </c>
      <c r="C70">
        <v>12436</v>
      </c>
      <c r="D70">
        <v>11810</v>
      </c>
      <c r="E70">
        <v>1080</v>
      </c>
      <c r="F70">
        <v>116</v>
      </c>
      <c r="G70" s="1">
        <v>52633.830010848098</v>
      </c>
      <c r="H70" s="1">
        <v>2.99770320033587E-6</v>
      </c>
      <c r="I70">
        <v>42.390999999999998</v>
      </c>
      <c r="J70">
        <v>340.53699999999998</v>
      </c>
      <c r="L70">
        <v>2.01099099999999</v>
      </c>
      <c r="M70">
        <v>385.949502</v>
      </c>
      <c r="N70">
        <v>309215</v>
      </c>
      <c r="O70">
        <v>12436</v>
      </c>
      <c r="P70">
        <v>318599</v>
      </c>
      <c r="Q70">
        <v>12890</v>
      </c>
      <c r="R70">
        <v>387.96</v>
      </c>
      <c r="S70">
        <v>20260407</v>
      </c>
      <c r="T70">
        <v>144428</v>
      </c>
      <c r="U70">
        <f t="shared" si="8"/>
        <v>5.7851202698410562</v>
      </c>
    </row>
    <row r="71" spans="1:22" x14ac:dyDescent="0.25">
      <c r="A71" t="s">
        <v>39</v>
      </c>
      <c r="B71" t="s">
        <v>21</v>
      </c>
      <c r="C71">
        <v>12436</v>
      </c>
      <c r="D71">
        <v>11810</v>
      </c>
      <c r="E71">
        <v>1080</v>
      </c>
      <c r="F71">
        <v>116</v>
      </c>
      <c r="G71" s="1">
        <v>52633.830010848098</v>
      </c>
      <c r="H71" s="1">
        <v>2.99770320033587E-6</v>
      </c>
      <c r="I71">
        <v>42.366999999999997</v>
      </c>
      <c r="J71">
        <v>341.09199999999998</v>
      </c>
      <c r="L71">
        <v>2.0337619999999599</v>
      </c>
      <c r="M71">
        <v>386.724962</v>
      </c>
      <c r="N71">
        <v>309215</v>
      </c>
      <c r="O71">
        <v>12436</v>
      </c>
      <c r="P71">
        <v>318599</v>
      </c>
      <c r="Q71">
        <v>12890</v>
      </c>
      <c r="R71">
        <v>388.75900000000001</v>
      </c>
      <c r="S71">
        <v>20260407</v>
      </c>
      <c r="T71">
        <v>155047</v>
      </c>
      <c r="U71">
        <f t="shared" si="8"/>
        <v>5.7970346710566538</v>
      </c>
    </row>
    <row r="72" spans="1:22" x14ac:dyDescent="0.25">
      <c r="A72" t="s">
        <v>39</v>
      </c>
      <c r="B72" t="s">
        <v>21</v>
      </c>
      <c r="C72">
        <v>12436</v>
      </c>
      <c r="D72">
        <v>11810</v>
      </c>
      <c r="E72">
        <v>1080</v>
      </c>
      <c r="F72">
        <v>116</v>
      </c>
      <c r="G72" s="1">
        <v>52633.830010848098</v>
      </c>
      <c r="H72" s="1">
        <v>2.99770320033587E-6</v>
      </c>
      <c r="I72">
        <v>42.103000000000002</v>
      </c>
      <c r="J72">
        <v>339.98899999999998</v>
      </c>
      <c r="L72">
        <v>2.04258899999996</v>
      </c>
      <c r="M72">
        <v>384.90027099999998</v>
      </c>
      <c r="N72">
        <v>309215</v>
      </c>
      <c r="O72">
        <v>12436</v>
      </c>
      <c r="P72">
        <v>318599</v>
      </c>
      <c r="Q72">
        <v>12890</v>
      </c>
      <c r="R72">
        <v>386.94299999999998</v>
      </c>
      <c r="S72">
        <v>20260407</v>
      </c>
      <c r="T72">
        <v>165800</v>
      </c>
      <c r="U72">
        <f t="shared" si="8"/>
        <v>5.7699551308720176</v>
      </c>
    </row>
    <row r="73" spans="1:22" x14ac:dyDescent="0.25">
      <c r="A73" t="s">
        <v>39</v>
      </c>
      <c r="B73" t="s">
        <v>21</v>
      </c>
      <c r="C73">
        <v>12436</v>
      </c>
      <c r="D73">
        <v>11810</v>
      </c>
      <c r="E73">
        <v>1080</v>
      </c>
      <c r="F73">
        <v>116</v>
      </c>
      <c r="G73" s="1">
        <v>52633.830010848098</v>
      </c>
      <c r="H73" s="1">
        <v>2.99770320033587E-6</v>
      </c>
      <c r="I73">
        <v>42.55</v>
      </c>
      <c r="J73">
        <v>340.565</v>
      </c>
      <c r="L73">
        <v>2.0351430000000001</v>
      </c>
      <c r="M73">
        <v>386.21153299999997</v>
      </c>
      <c r="N73">
        <v>309215</v>
      </c>
      <c r="O73">
        <v>12436</v>
      </c>
      <c r="P73">
        <v>318599</v>
      </c>
      <c r="Q73">
        <v>12890</v>
      </c>
      <c r="R73">
        <v>388.24700000000001</v>
      </c>
      <c r="S73">
        <v>20260407</v>
      </c>
      <c r="T73">
        <v>180520</v>
      </c>
      <c r="U73">
        <f t="shared" si="8"/>
        <v>5.7893999108283865</v>
      </c>
    </row>
  </sheetData>
  <sortState xmlns:xlrd2="http://schemas.microsoft.com/office/spreadsheetml/2017/richdata2" ref="A2:T73">
    <sortCondition ref="A2:A73"/>
    <sortCondition ref="T2:T7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D7A1-3889-4ED2-BD81-B1030384ADCE}">
  <dimension ref="A1:K19"/>
  <sheetViews>
    <sheetView tabSelected="1" topLeftCell="D1" zoomScale="150" zoomScaleNormal="150" workbookViewId="0">
      <selection activeCell="G12" sqref="G12"/>
    </sheetView>
  </sheetViews>
  <sheetFormatPr defaultRowHeight="15" x14ac:dyDescent="0.25"/>
  <cols>
    <col min="1" max="1" width="15.140625" bestFit="1" customWidth="1"/>
    <col min="3" max="3" width="24.140625" bestFit="1" customWidth="1"/>
    <col min="4" max="4" width="12" bestFit="1" customWidth="1"/>
    <col min="5" max="5" width="10" bestFit="1" customWidth="1"/>
    <col min="6" max="6" width="9.42578125" bestFit="1" customWidth="1"/>
    <col min="7" max="7" width="19.85546875" bestFit="1" customWidth="1"/>
    <col min="9" max="9" width="14.28515625" bestFit="1" customWidth="1"/>
    <col min="10" max="10" width="16" bestFit="1" customWidth="1"/>
  </cols>
  <sheetData>
    <row r="1" spans="1:11" x14ac:dyDescent="0.25">
      <c r="A1" s="2" t="s">
        <v>50</v>
      </c>
      <c r="B1" s="2" t="s">
        <v>48</v>
      </c>
      <c r="C1" s="2" t="s">
        <v>51</v>
      </c>
      <c r="D1" s="2" t="s">
        <v>54</v>
      </c>
      <c r="E1" s="2" t="s">
        <v>55</v>
      </c>
      <c r="F1" s="2" t="s">
        <v>56</v>
      </c>
      <c r="G1" s="2" t="s">
        <v>61</v>
      </c>
      <c r="H1" s="2" t="s">
        <v>57</v>
      </c>
      <c r="I1" s="2" t="s">
        <v>58</v>
      </c>
      <c r="J1" s="2" t="s">
        <v>59</v>
      </c>
      <c r="K1" s="2" t="s">
        <v>60</v>
      </c>
    </row>
    <row r="2" spans="1:11" x14ac:dyDescent="0.25">
      <c r="A2" s="3" t="s">
        <v>42</v>
      </c>
      <c r="B2" s="3" t="s">
        <v>45</v>
      </c>
      <c r="C2" t="s">
        <v>52</v>
      </c>
      <c r="D2">
        <f>AVERAGE(INDEX(ipopt_output!G:G, (ROW(D2) - 2)*4 + 2):INDEX(ipopt_output!G:G, (ROW(D2) - 2)*4 + 5))</f>
        <v>1583.33899916276</v>
      </c>
      <c r="E2">
        <f>AVERAGE(INDEX(ipopt_output!R:R, (ROW(D2) - 2)*4 + 2):INDEX(ipopt_output!R:R, (ROW(D2) - 2)*4 + 5))</f>
        <v>1.9838425000000002</v>
      </c>
      <c r="F2">
        <f>AVERAGE(INDEX(ipopt_output!F:F, (ROW(D2) - 2)*4 + 2):INDEX(ipopt_output!F:F, (ROW(D2) - 2)*4 + 5))</f>
        <v>371</v>
      </c>
      <c r="G2">
        <f>AVERAGE(INDEX(ipopt_output!J:J, (ROW(G2) - 2)*4 + 2):INDEX(ipopt_output!J:J, (ROW(G2) - 2)*4 + 5))</f>
        <v>0.14125000000000001</v>
      </c>
      <c r="H2">
        <f>AVERAGE(INDEX(ipopt_output!C:C, (ROW(D2) - 2)*4 + 2):INDEX(ipopt_output!C:C, (ROW(D2) - 2)*4 + 5))</f>
        <v>900</v>
      </c>
      <c r="I2">
        <f>AVERAGE(INDEX(ipopt_output!D:D, (ROW(I2) - 2)*4 + 2):INDEX(ipopt_output!D:D, (ROW(I2) - 2)*4 + 5))</f>
        <v>853</v>
      </c>
      <c r="J2">
        <f>AVERAGE(INDEX(ipopt_output!E:E, (ROW(I2) - 2)*4 + 2):INDEX(ipopt_output!E:E, (ROW(I2) - 2)*4 + 5))</f>
        <v>50</v>
      </c>
    </row>
    <row r="3" spans="1:11" x14ac:dyDescent="0.25">
      <c r="A3" s="3"/>
      <c r="B3" s="3"/>
      <c r="C3" t="s">
        <v>53</v>
      </c>
      <c r="D3">
        <f>AVERAGE(INDEX(ipopt_output!G:G, (ROW(D3) - 2)*4 + 2):INDEX(ipopt_output!G:G, (ROW(D3) - 2)*4 + 5))</f>
        <v>1921.3975853618199</v>
      </c>
      <c r="E3">
        <f>AVERAGE(INDEX(ipopt_output!R:R, (ROW(D3) - 2)*4 + 2):INDEX(ipopt_output!R:R, (ROW(D3) - 2)*4 + 5))</f>
        <v>4.1206700000000005</v>
      </c>
      <c r="F3">
        <f>AVERAGE(INDEX(ipopt_output!F:F, (ROW(D3) - 2)*4 + 2):INDEX(ipopt_output!F:F, (ROW(D3) - 2)*4 + 5))</f>
        <v>409</v>
      </c>
      <c r="G3">
        <f>AVERAGE(INDEX(ipopt_output!J:J, (ROW(G3) - 2)*4 + 2):INDEX(ipopt_output!J:J, (ROW(G3) - 2)*4 + 5))</f>
        <v>0.72899999999999998</v>
      </c>
      <c r="H3">
        <f>AVERAGE(INDEX(ipopt_output!C:C, (ROW(D3) - 2)*4 + 2):INDEX(ipopt_output!C:C, (ROW(D3) - 2)*4 + 5))</f>
        <v>1197</v>
      </c>
      <c r="I3">
        <f>AVERAGE(INDEX(ipopt_output!D:D, (ROW(I3) - 2)*4 + 2):INDEX(ipopt_output!D:D, (ROW(I3) - 2)*4 + 5))</f>
        <v>1150</v>
      </c>
      <c r="J3">
        <f>AVERAGE(INDEX(ipopt_output!E:E, (ROW(I3) - 2)*4 + 2):INDEX(ipopt_output!E:E, (ROW(I3) - 2)*4 + 5))</f>
        <v>50</v>
      </c>
      <c r="K3">
        <f>(AVERAGE(INDEX(ipopt_output!N:N, (ROW(I3) - 2)*4 + 2):INDEX(ipopt_output!N:N, (ROW(I3) - 2)*4 + 5))-AVERAGE(INDEX(ipopt_output!O:O, (ROW(I3) - 2)*4 + 2):INDEX(ipopt_output!O:O, (ROW(I3) - 2)*4 + 5)))/AVERAGE(INDEX(ipopt_output!N:N, (ROW(I3) - 2)*4 + 2):INDEX(ipopt_output!N:N, (ROW(I3) - 2)*4 + 5))</f>
        <v>0.93745754741627041</v>
      </c>
    </row>
    <row r="4" spans="1:11" x14ac:dyDescent="0.25">
      <c r="A4" s="3"/>
      <c r="B4" s="3" t="s">
        <v>46</v>
      </c>
      <c r="C4" t="s">
        <v>52</v>
      </c>
      <c r="D4">
        <f>AVERAGE(INDEX(ipopt_output!G:G, (ROW(D4) - 2)*4 + 2):INDEX(ipopt_output!G:G, (ROW(D4) - 2)*4 + 5))</f>
        <v>1583.33899916274</v>
      </c>
      <c r="E4">
        <f>AVERAGE(INDEX(ipopt_output!R:R, (ROW(D4) - 2)*4 + 2):INDEX(ipopt_output!R:R, (ROW(D4) - 2)*4 + 5))</f>
        <v>1.1868050000000001</v>
      </c>
      <c r="F4">
        <f>AVERAGE(INDEX(ipopt_output!F:F, (ROW(D4) - 2)*4 + 2):INDEX(ipopt_output!F:F, (ROW(D4) - 2)*4 + 5))</f>
        <v>371</v>
      </c>
      <c r="G4">
        <f>AVERAGE(INDEX(ipopt_output!J:J, (ROW(G4) - 2)*4 + 2):INDEX(ipopt_output!J:J, (ROW(G4) - 2)*4 + 5))</f>
        <v>8.6999999999999994E-2</v>
      </c>
      <c r="H4">
        <f>AVERAGE(INDEX(ipopt_output!C:C, (ROW(D4) - 2)*4 + 2):INDEX(ipopt_output!C:C, (ROW(D4) - 2)*4 + 5))</f>
        <v>300</v>
      </c>
      <c r="I4">
        <f>AVERAGE(INDEX(ipopt_output!D:D, (ROW(I4) - 2)*4 + 2):INDEX(ipopt_output!D:D, (ROW(I4) - 2)*4 + 5))</f>
        <v>253</v>
      </c>
      <c r="J4">
        <f>AVERAGE(INDEX(ipopt_output!E:E, (ROW(I4) - 2)*4 + 2):INDEX(ipopt_output!E:E, (ROW(I4) - 2)*4 + 5))</f>
        <v>50</v>
      </c>
    </row>
    <row r="5" spans="1:11" x14ac:dyDescent="0.25">
      <c r="A5" s="3"/>
      <c r="B5" s="3"/>
      <c r="C5" t="s">
        <v>53</v>
      </c>
      <c r="D5">
        <f>AVERAGE(INDEX(ipopt_output!G:G, (ROW(D5) - 2)*4 + 2):INDEX(ipopt_output!G:G, (ROW(D5) - 2)*4 + 5))</f>
        <v>1583.33899916274</v>
      </c>
      <c r="E5">
        <f>AVERAGE(INDEX(ipopt_output!R:R, (ROW(D5) - 2)*4 + 2):INDEX(ipopt_output!R:R, (ROW(D5) - 2)*4 + 5))</f>
        <v>2.0641799999999999</v>
      </c>
      <c r="F5">
        <f>AVERAGE(INDEX(ipopt_output!F:F, (ROW(D5) - 2)*4 + 2):INDEX(ipopt_output!F:F, (ROW(D5) - 2)*4 + 5))</f>
        <v>371</v>
      </c>
      <c r="G5">
        <f>AVERAGE(INDEX(ipopt_output!J:J, (ROW(G5) - 2)*4 + 2):INDEX(ipopt_output!J:J, (ROW(G5) - 2)*4 + 5))</f>
        <v>0.5704999999999999</v>
      </c>
      <c r="H5">
        <f>AVERAGE(INDEX(ipopt_output!C:C, (ROW(D5) - 2)*4 + 2):INDEX(ipopt_output!C:C, (ROW(D5) - 2)*4 + 5))</f>
        <v>295</v>
      </c>
      <c r="I5">
        <f>AVERAGE(INDEX(ipopt_output!D:D, (ROW(I5) - 2)*4 + 2):INDEX(ipopt_output!D:D, (ROW(I5) - 2)*4 + 5))</f>
        <v>248</v>
      </c>
      <c r="J5">
        <f>AVERAGE(INDEX(ipopt_output!E:E, (ROW(I5) - 2)*4 + 2):INDEX(ipopt_output!E:E, (ROW(I5) - 2)*4 + 5))</f>
        <v>50</v>
      </c>
      <c r="K5">
        <f>(AVERAGE(INDEX(ipopt_output!N:N, (ROW(I5) - 2)*4 + 2):INDEX(ipopt_output!N:N, (ROW(I5) - 2)*4 + 5))-AVERAGE(INDEX(ipopt_output!O:O, (ROW(I5) - 2)*4 + 2):INDEX(ipopt_output!O:O, (ROW(I5) - 2)*4 + 5)))/AVERAGE(INDEX(ipopt_output!N:N, (ROW(I5) - 2)*4 + 2):INDEX(ipopt_output!N:N, (ROW(I5) - 2)*4 + 5))</f>
        <v>0.98253300965125234</v>
      </c>
    </row>
    <row r="6" spans="1:11" x14ac:dyDescent="0.25">
      <c r="A6" s="3"/>
      <c r="B6" s="3" t="s">
        <v>47</v>
      </c>
      <c r="C6" t="s">
        <v>52</v>
      </c>
      <c r="D6">
        <f>AVERAGE(INDEX(ipopt_output!G:G, (ROW(D6) - 2)*4 + 2):INDEX(ipopt_output!G:G, (ROW(D6) - 2)*4 + 5))</f>
        <v>1921.3975853618001</v>
      </c>
      <c r="E6">
        <f>AVERAGE(INDEX(ipopt_output!R:R, (ROW(D6) - 2)*4 + 2):INDEX(ipopt_output!R:R, (ROW(D6) - 2)*4 + 5))</f>
        <v>1.2900225000000001</v>
      </c>
      <c r="F6">
        <f>AVERAGE(INDEX(ipopt_output!F:F, (ROW(D6) - 2)*4 + 2):INDEX(ipopt_output!F:F, (ROW(D6) - 2)*4 + 5))</f>
        <v>411</v>
      </c>
      <c r="G6">
        <f>AVERAGE(INDEX(ipopt_output!J:J, (ROW(G6) - 2)*4 + 2):INDEX(ipopt_output!J:J, (ROW(G6) - 2)*4 + 5))</f>
        <v>0.10300000000000001</v>
      </c>
      <c r="H6">
        <f>AVERAGE(INDEX(ipopt_output!C:C, (ROW(D6) - 2)*4 + 2):INDEX(ipopt_output!C:C, (ROW(D6) - 2)*4 + 5))</f>
        <v>300</v>
      </c>
      <c r="I6">
        <f>AVERAGE(INDEX(ipopt_output!D:D, (ROW(I6) - 2)*4 + 2):INDEX(ipopt_output!D:D, (ROW(I6) - 2)*4 + 5))</f>
        <v>253</v>
      </c>
      <c r="J6">
        <f>AVERAGE(INDEX(ipopt_output!E:E, (ROW(I6) - 2)*4 + 2):INDEX(ipopt_output!E:E, (ROW(I6) - 2)*4 + 5))</f>
        <v>50</v>
      </c>
    </row>
    <row r="7" spans="1:11" x14ac:dyDescent="0.25">
      <c r="A7" s="3"/>
      <c r="B7" s="3"/>
      <c r="C7" t="s">
        <v>53</v>
      </c>
      <c r="D7">
        <f>AVERAGE(INDEX(ipopt_output!G:G, (ROW(D7) - 2)*4 + 2):INDEX(ipopt_output!G:G, (ROW(D7) - 2)*4 + 5))</f>
        <v>1921.3975853618199</v>
      </c>
      <c r="E7">
        <f>AVERAGE(INDEX(ipopt_output!R:R, (ROW(D7) - 2)*4 + 2):INDEX(ipopt_output!R:R, (ROW(D7) - 2)*4 + 5))</f>
        <v>4.4675075</v>
      </c>
      <c r="F7">
        <f>AVERAGE(INDEX(ipopt_output!F:F, (ROW(D7) - 2)*4 + 2):INDEX(ipopt_output!F:F, (ROW(D7) - 2)*4 + 5))</f>
        <v>409</v>
      </c>
      <c r="G7">
        <f>AVERAGE(INDEX(ipopt_output!J:J, (ROW(G7) - 2)*4 + 2):INDEX(ipopt_output!J:J, (ROW(G7) - 2)*4 + 5))</f>
        <v>0.72249999999999992</v>
      </c>
      <c r="H7">
        <f>AVERAGE(INDEX(ipopt_output!C:C, (ROW(D7) - 2)*4 + 2):INDEX(ipopt_output!C:C, (ROW(D7) - 2)*4 + 5))</f>
        <v>1195</v>
      </c>
      <c r="I7">
        <f>AVERAGE(INDEX(ipopt_output!D:D, (ROW(I7) - 2)*4 + 2):INDEX(ipopt_output!D:D, (ROW(I7) - 2)*4 + 5))</f>
        <v>1148</v>
      </c>
      <c r="J7">
        <f>AVERAGE(INDEX(ipopt_output!E:E, (ROW(I7) - 2)*4 + 2):INDEX(ipopt_output!E:E, (ROW(I7) - 2)*4 + 5))</f>
        <v>50</v>
      </c>
      <c r="K7">
        <f>(AVERAGE(INDEX(ipopt_output!N:N, (ROW(I7) - 2)*4 + 2):INDEX(ipopt_output!N:N, (ROW(I7) - 2)*4 + 5))-AVERAGE(INDEX(ipopt_output!O:O, (ROW(I7) - 2)*4 + 2):INDEX(ipopt_output!O:O, (ROW(I7) - 2)*4 + 5)))/AVERAGE(INDEX(ipopt_output!N:N, (ROW(I7) - 2)*4 + 2):INDEX(ipopt_output!N:N, (ROW(I7) - 2)*4 + 5))</f>
        <v>0.93756204608391247</v>
      </c>
    </row>
    <row r="8" spans="1:11" x14ac:dyDescent="0.25">
      <c r="A8" s="3" t="s">
        <v>43</v>
      </c>
      <c r="B8" s="3" t="s">
        <v>45</v>
      </c>
      <c r="C8" t="s">
        <v>52</v>
      </c>
      <c r="D8" s="2" t="s">
        <v>49</v>
      </c>
      <c r="E8" s="2" t="s">
        <v>49</v>
      </c>
      <c r="F8" s="2" t="s">
        <v>49</v>
      </c>
      <c r="G8" s="2" t="s">
        <v>49</v>
      </c>
      <c r="H8" s="2" t="s">
        <v>49</v>
      </c>
      <c r="I8" s="2" t="s">
        <v>49</v>
      </c>
      <c r="J8" s="2" t="s">
        <v>49</v>
      </c>
    </row>
    <row r="9" spans="1:11" x14ac:dyDescent="0.25">
      <c r="A9" s="3"/>
      <c r="B9" s="3"/>
      <c r="C9" t="s">
        <v>53</v>
      </c>
      <c r="D9">
        <f>AVERAGE(INDEX(ipopt_output!G:G, (ROW(D9) - 2)*4 + 2):INDEX(ipopt_output!G:G, (ROW(D9) - 2)*4 + 5))</f>
        <v>55592.036459183197</v>
      </c>
      <c r="E9">
        <f>AVERAGE(INDEX(ipopt_output!R:R, (ROW(D9) - 2)*4 + 2):INDEX(ipopt_output!R:R, (ROW(D9) - 2)*4 + 5))</f>
        <v>879.67325000000005</v>
      </c>
      <c r="F9">
        <f>AVERAGE(INDEX(ipopt_output!F:F, (ROW(D9) - 2)*4 + 2):INDEX(ipopt_output!F:F, (ROW(D9) - 2)*4 + 5))</f>
        <v>208</v>
      </c>
      <c r="G9">
        <f>AVERAGE(INDEX(ipopt_output!J:J, (ROW(G9) - 2)*4 + 2):INDEX(ipopt_output!J:J, (ROW(G9) - 2)*4 + 5))</f>
        <v>600.79250000000002</v>
      </c>
      <c r="H9">
        <f>AVERAGE(INDEX(ipopt_output!C:C, (ROW(D9) - 2)*4 + 2):INDEX(ipopt_output!C:C, (ROW(D9) - 2)*4 + 5))</f>
        <v>12454</v>
      </c>
      <c r="I9">
        <f>AVERAGE(INDEX(ipopt_output!D:D, (ROW(I9) - 2)*4 + 2):INDEX(ipopt_output!D:D, (ROW(I9) - 2)*4 + 5))</f>
        <v>11828</v>
      </c>
      <c r="J9">
        <f>AVERAGE(INDEX(ipopt_output!E:E, (ROW(I9) - 2)*4 + 2):INDEX(ipopt_output!E:E, (ROW(I9) - 2)*4 + 5))</f>
        <v>1080</v>
      </c>
      <c r="K9">
        <f>(AVERAGE(INDEX(ipopt_output!N:N, (ROW(I9) - 2)*4 + 2):INDEX(ipopt_output!N:N, (ROW(I9) - 2)*4 + 5))-AVERAGE(INDEX(ipopt_output!O:O, (ROW(I9) - 2)*4 + 2):INDEX(ipopt_output!O:O, (ROW(I9) - 2)*4 + 5)))/AVERAGE(INDEX(ipopt_output!N:N, (ROW(I9) - 2)*4 + 2):INDEX(ipopt_output!N:N, (ROW(I9) - 2)*4 + 5))</f>
        <v>0.95972381676180007</v>
      </c>
    </row>
    <row r="10" spans="1:11" x14ac:dyDescent="0.25">
      <c r="A10" s="3"/>
      <c r="B10" s="3" t="s">
        <v>46</v>
      </c>
      <c r="C10" t="s">
        <v>52</v>
      </c>
      <c r="D10" s="2" t="s">
        <v>49</v>
      </c>
      <c r="E10" s="2" t="s">
        <v>49</v>
      </c>
      <c r="F10" s="2" t="s">
        <v>49</v>
      </c>
      <c r="G10" s="2" t="s">
        <v>49</v>
      </c>
      <c r="H10" s="2" t="s">
        <v>49</v>
      </c>
      <c r="I10" s="2" t="s">
        <v>49</v>
      </c>
      <c r="J10" s="2" t="s">
        <v>49</v>
      </c>
    </row>
    <row r="11" spans="1:11" x14ac:dyDescent="0.25">
      <c r="A11" s="3"/>
      <c r="B11" s="3"/>
      <c r="C11" t="s">
        <v>53</v>
      </c>
      <c r="D11">
        <f>AVERAGE(INDEX(ipopt_output!G:G, (ROW(D11) - 2)*4 + 2):INDEX(ipopt_output!G:G, (ROW(D11) - 2)*4 + 5))</f>
        <v>14277.068949340999</v>
      </c>
      <c r="E11">
        <f>AVERAGE(INDEX(ipopt_output!R:R, (ROW(D11) - 2)*4 + 2):INDEX(ipopt_output!R:R, (ROW(D11) - 2)*4 + 5))</f>
        <v>470.21875</v>
      </c>
      <c r="F11">
        <f>AVERAGE(INDEX(ipopt_output!F:F, (ROW(D11) - 2)*4 + 2):INDEX(ipopt_output!F:F, (ROW(D11) - 2)*4 + 5))</f>
        <v>146</v>
      </c>
      <c r="G11">
        <f>AVERAGE(INDEX(ipopt_output!J:J, (ROW(G11) - 2)*4 + 2):INDEX(ipopt_output!J:J, (ROW(G11) - 2)*4 + 5))</f>
        <v>421.62725</v>
      </c>
      <c r="H11">
        <f>AVERAGE(INDEX(ipopt_output!C:C, (ROW(D11) - 2)*4 + 2):INDEX(ipopt_output!C:C, (ROW(D11) - 2)*4 + 5))</f>
        <v>3106</v>
      </c>
      <c r="I11">
        <f>AVERAGE(INDEX(ipopt_output!D:D, (ROW(I11) - 2)*4 + 2):INDEX(ipopt_output!D:D, (ROW(I11) - 2)*4 + 5))</f>
        <v>2480</v>
      </c>
      <c r="J11">
        <f>AVERAGE(INDEX(ipopt_output!E:E, (ROW(I11) - 2)*4 + 2):INDEX(ipopt_output!E:E, (ROW(I11) - 2)*4 + 5))</f>
        <v>1080</v>
      </c>
      <c r="K11">
        <f>(AVERAGE(INDEX(ipopt_output!N:N, (ROW(I11) - 2)*4 + 2):INDEX(ipopt_output!N:N, (ROW(I11) - 2)*4 + 5))-AVERAGE(INDEX(ipopt_output!O:O, (ROW(I11) - 2)*4 + 2):INDEX(ipopt_output!O:O, (ROW(I11) - 2)*4 + 5)))/AVERAGE(INDEX(ipopt_output!N:N, (ROW(I11) - 2)*4 + 2):INDEX(ipopt_output!N:N, (ROW(I11) - 2)*4 + 5))</f>
        <v>0.9892289286147764</v>
      </c>
    </row>
    <row r="12" spans="1:11" x14ac:dyDescent="0.25">
      <c r="A12" s="3"/>
      <c r="B12" s="3" t="s">
        <v>47</v>
      </c>
      <c r="C12" t="s">
        <v>52</v>
      </c>
      <c r="D12">
        <f>AVERAGE(INDEX(ipopt_output!G:G, (ROW(D12) - 2)*4 + 2):INDEX(ipopt_output!G:G, (ROW(D12) - 2)*4 + 5))</f>
        <v>13127.3748913159</v>
      </c>
      <c r="E12">
        <f>AVERAGE(INDEX(ipopt_output!R:R, (ROW(D12) - 2)*4 + 2):INDEX(ipopt_output!R:R, (ROW(D12) - 2)*4 + 5))</f>
        <v>66.521974999999998</v>
      </c>
      <c r="F12">
        <f>AVERAGE(INDEX(ipopt_output!F:F, (ROW(D12) - 2)*4 + 2):INDEX(ipopt_output!F:F, (ROW(D12) - 2)*4 + 5))</f>
        <v>330</v>
      </c>
      <c r="G12">
        <f>AVERAGE(INDEX(ipopt_output!J:J, (ROW(G12) - 2)*4 + 2):INDEX(ipopt_output!J:J, (ROW(G12) - 2)*4 + 5))</f>
        <v>11.438750000000001</v>
      </c>
      <c r="H12">
        <f>AVERAGE(INDEX(ipopt_output!C:C, (ROW(D12) - 2)*4 + 2):INDEX(ipopt_output!C:C, (ROW(D12) - 2)*4 + 5))</f>
        <v>3400</v>
      </c>
      <c r="I12">
        <f>AVERAGE(INDEX(ipopt_output!D:D, (ROW(I12) - 2)*4 + 2):INDEX(ipopt_output!D:D, (ROW(I12) - 2)*4 + 5))</f>
        <v>2787</v>
      </c>
      <c r="J12">
        <f>AVERAGE(INDEX(ipopt_output!E:E, (ROW(I12) - 2)*4 + 2):INDEX(ipopt_output!E:E, (ROW(I12) - 2)*4 + 5))</f>
        <v>1180</v>
      </c>
    </row>
    <row r="13" spans="1:11" x14ac:dyDescent="0.25">
      <c r="A13" s="3"/>
      <c r="B13" s="3"/>
      <c r="C13" t="s">
        <v>53</v>
      </c>
      <c r="D13">
        <f>AVERAGE(INDEX(ipopt_output!G:G, (ROW(D13) - 2)*4 + 2):INDEX(ipopt_output!G:G, (ROW(D13) - 2)*4 + 5))</f>
        <v>55595.282261664499</v>
      </c>
      <c r="E13">
        <f>AVERAGE(INDEX(ipopt_output!R:R, (ROW(D13) - 2)*4 + 2):INDEX(ipopt_output!R:R, (ROW(D13) - 2)*4 + 5))</f>
        <v>634.88075000000003</v>
      </c>
      <c r="F13">
        <f>AVERAGE(INDEX(ipopt_output!F:F, (ROW(D13) - 2)*4 + 2):INDEX(ipopt_output!F:F, (ROW(D13) - 2)*4 + 5))</f>
        <v>189</v>
      </c>
      <c r="G13">
        <f>AVERAGE(INDEX(ipopt_output!J:J, (ROW(G13) - 2)*4 + 2):INDEX(ipopt_output!J:J, (ROW(G13) - 2)*4 + 5))</f>
        <v>556.81299999999999</v>
      </c>
      <c r="H13">
        <f>AVERAGE(INDEX(ipopt_output!C:C, (ROW(D13) - 2)*4 + 2):INDEX(ipopt_output!C:C, (ROW(D13) - 2)*4 + 5))</f>
        <v>12436</v>
      </c>
      <c r="I13">
        <f>AVERAGE(INDEX(ipopt_output!D:D, (ROW(I13) - 2)*4 + 2):INDEX(ipopt_output!D:D, (ROW(I13) - 2)*4 + 5))</f>
        <v>11810</v>
      </c>
      <c r="J13">
        <f>AVERAGE(INDEX(ipopt_output!E:E, (ROW(I13) - 2)*4 + 2):INDEX(ipopt_output!E:E, (ROW(I13) - 2)*4 + 5))</f>
        <v>1080</v>
      </c>
      <c r="K13">
        <f>(AVERAGE(INDEX(ipopt_output!N:N, (ROW(I13) - 2)*4 + 2):INDEX(ipopt_output!N:N, (ROW(I13) - 2)*4 + 5))-AVERAGE(INDEX(ipopt_output!O:O, (ROW(I13) - 2)*4 + 2):INDEX(ipopt_output!O:O, (ROW(I13) - 2)*4 + 5)))/AVERAGE(INDEX(ipopt_output!N:N, (ROW(I13) - 2)*4 + 2):INDEX(ipopt_output!N:N, (ROW(I13) - 2)*4 + 5))</f>
        <v>0.95978202868554241</v>
      </c>
    </row>
    <row r="14" spans="1:11" x14ac:dyDescent="0.25">
      <c r="A14" s="3" t="s">
        <v>44</v>
      </c>
      <c r="B14" s="3" t="s">
        <v>45</v>
      </c>
      <c r="C14" t="s">
        <v>52</v>
      </c>
      <c r="D14">
        <f>AVERAGE(INDEX(ipopt_output!G:G, (ROW(D14) - 2)*4 + 2):INDEX(ipopt_output!G:G, (ROW(D14) - 2)*4 + 5))</f>
        <v>13089.904398831201</v>
      </c>
      <c r="E14">
        <f>AVERAGE(INDEX(ipopt_output!R:R, (ROW(D14) - 2)*4 + 2):INDEX(ipopt_output!R:R, (ROW(D14) - 2)*4 + 5))</f>
        <v>147.79675</v>
      </c>
      <c r="F14">
        <f>AVERAGE(INDEX(ipopt_output!F:F, (ROW(D14) - 2)*4 + 2):INDEX(ipopt_output!F:F, (ROW(D14) - 2)*4 + 5))</f>
        <v>812</v>
      </c>
      <c r="G14">
        <f>AVERAGE(INDEX(ipopt_output!J:J, (ROW(G14) - 2)*4 + 2):INDEX(ipopt_output!J:J, (ROW(G14) - 2)*4 + 5))</f>
        <v>27.926250000000003</v>
      </c>
      <c r="H14">
        <f>AVERAGE(INDEX(ipopt_output!C:C, (ROW(D14) - 2)*4 + 2):INDEX(ipopt_output!C:C, (ROW(D14) - 2)*4 + 5))</f>
        <v>8950</v>
      </c>
      <c r="I14">
        <f>AVERAGE(INDEX(ipopt_output!D:D, (ROW(I14) - 2)*4 + 2):INDEX(ipopt_output!D:D, (ROW(I14) - 2)*4 + 5))</f>
        <v>8337</v>
      </c>
      <c r="J14">
        <f>AVERAGE(INDEX(ipopt_output!E:E, (ROW(I14) - 2)*4 + 2):INDEX(ipopt_output!E:E, (ROW(I14) - 2)*4 + 5))</f>
        <v>1180</v>
      </c>
    </row>
    <row r="15" spans="1:11" x14ac:dyDescent="0.25">
      <c r="A15" s="3"/>
      <c r="B15" s="3"/>
      <c r="C15" t="s">
        <v>53</v>
      </c>
      <c r="D15">
        <f>AVERAGE(INDEX(ipopt_output!G:G, (ROW(D15) - 2)*4 + 2):INDEX(ipopt_output!G:G, (ROW(D15) - 2)*4 + 5))</f>
        <v>49601.401976387897</v>
      </c>
      <c r="E15">
        <f>AVERAGE(INDEX(ipopt_output!R:R, (ROW(D15) - 2)*4 + 2):INDEX(ipopt_output!R:R, (ROW(D15) - 2)*4 + 5))</f>
        <v>387.42149999999998</v>
      </c>
      <c r="F15">
        <f>AVERAGE(INDEX(ipopt_output!F:F, (ROW(D15) - 2)*4 + 2):INDEX(ipopt_output!F:F, (ROW(D15) - 2)*4 + 5))</f>
        <v>117</v>
      </c>
      <c r="G15">
        <f>AVERAGE(INDEX(ipopt_output!J:J, (ROW(G15) - 2)*4 + 2):INDEX(ipopt_output!J:J, (ROW(G15) - 2)*4 + 5))</f>
        <v>343.38524999999998</v>
      </c>
      <c r="H15">
        <f>AVERAGE(INDEX(ipopt_output!C:C, (ROW(D15) - 2)*4 + 2):INDEX(ipopt_output!C:C, (ROW(D15) - 2)*4 + 5))</f>
        <v>12454</v>
      </c>
      <c r="I15">
        <f>AVERAGE(INDEX(ipopt_output!D:D, (ROW(I15) - 2)*4 + 2):INDEX(ipopt_output!D:D, (ROW(I15) - 2)*4 + 5))</f>
        <v>11828</v>
      </c>
      <c r="J15">
        <f>AVERAGE(INDEX(ipopt_output!E:E, (ROW(I15) - 2)*4 + 2):INDEX(ipopt_output!E:E, (ROW(I15) - 2)*4 + 5))</f>
        <v>1080</v>
      </c>
      <c r="K15">
        <f>(AVERAGE(INDEX(ipopt_output!N:N, (ROW(I15) - 2)*4 + 2):INDEX(ipopt_output!N:N, (ROW(I15) - 2)*4 + 5))-AVERAGE(INDEX(ipopt_output!O:O, (ROW(I15) - 2)*4 + 2):INDEX(ipopt_output!O:O, (ROW(I15) - 2)*4 + 5)))/AVERAGE(INDEX(ipopt_output!N:N, (ROW(I15) - 2)*4 + 2):INDEX(ipopt_output!N:N, (ROW(I15) - 2)*4 + 5))</f>
        <v>0.95972381676180007</v>
      </c>
    </row>
    <row r="16" spans="1:11" x14ac:dyDescent="0.25">
      <c r="A16" s="3"/>
      <c r="B16" s="3" t="s">
        <v>46</v>
      </c>
      <c r="C16" t="s">
        <v>52</v>
      </c>
      <c r="D16">
        <f>AVERAGE(INDEX(ipopt_output!G:G, (ROW(D16) - 2)*4 + 2):INDEX(ipopt_output!G:G, (ROW(D16) - 2)*4 + 5))</f>
        <v>12863.2655518513</v>
      </c>
      <c r="E16">
        <f>AVERAGE(INDEX(ipopt_output!R:R, (ROW(D16) - 2)*4 + 2):INDEX(ipopt_output!R:R, (ROW(D16) - 2)*4 + 5))</f>
        <v>227.80674999999999</v>
      </c>
      <c r="F16">
        <f>AVERAGE(INDEX(ipopt_output!F:F, (ROW(D16) - 2)*4 + 2):INDEX(ipopt_output!F:F, (ROW(D16) - 2)*4 + 5))</f>
        <v>1407</v>
      </c>
      <c r="G16">
        <f>AVERAGE(INDEX(ipopt_output!J:J, (ROW(G16) - 2)*4 + 2):INDEX(ipopt_output!J:J, (ROW(G16) - 2)*4 + 5))</f>
        <v>46.231499999999997</v>
      </c>
      <c r="H16">
        <f>AVERAGE(INDEX(ipopt_output!C:C, (ROW(D16) - 2)*4 + 2):INDEX(ipopt_output!C:C, (ROW(D16) - 2)*4 + 5))</f>
        <v>3400</v>
      </c>
      <c r="I16">
        <f>AVERAGE(INDEX(ipopt_output!D:D, (ROW(I16) - 2)*4 + 2):INDEX(ipopt_output!D:D, (ROW(I16) - 2)*4 + 5))</f>
        <v>2787</v>
      </c>
      <c r="J16">
        <f>AVERAGE(INDEX(ipopt_output!E:E, (ROW(I16) - 2)*4 + 2):INDEX(ipopt_output!E:E, (ROW(I16) - 2)*4 + 5))</f>
        <v>1180</v>
      </c>
    </row>
    <row r="17" spans="1:11" x14ac:dyDescent="0.25">
      <c r="A17" s="3"/>
      <c r="B17" s="3"/>
      <c r="C17" t="s">
        <v>53</v>
      </c>
      <c r="D17">
        <f>AVERAGE(INDEX(ipopt_output!G:G, (ROW(D17) - 2)*4 + 2):INDEX(ipopt_output!G:G, (ROW(D17) - 2)*4 + 5))</f>
        <v>13039.489384550199</v>
      </c>
      <c r="E17">
        <f>AVERAGE(INDEX(ipopt_output!R:R, (ROW(D17) - 2)*4 + 2):INDEX(ipopt_output!R:R, (ROW(D17) - 2)*4 + 5))</f>
        <v>461.65025000000003</v>
      </c>
      <c r="F17">
        <f>AVERAGE(INDEX(ipopt_output!F:F, (ROW(D17) - 2)*4 + 2):INDEX(ipopt_output!F:F, (ROW(D17) - 2)*4 + 5))</f>
        <v>145</v>
      </c>
      <c r="G17">
        <f>AVERAGE(INDEX(ipopt_output!J:J, (ROW(G17) - 2)*4 + 2):INDEX(ipopt_output!J:J, (ROW(G17) - 2)*4 + 5))</f>
        <v>417.28649999999999</v>
      </c>
      <c r="H17">
        <f>AVERAGE(INDEX(ipopt_output!C:C, (ROW(D17) - 2)*4 + 2):INDEX(ipopt_output!C:C, (ROW(D17) - 2)*4 + 5))</f>
        <v>3106</v>
      </c>
      <c r="I17">
        <f>AVERAGE(INDEX(ipopt_output!D:D, (ROW(I17) - 2)*4 + 2):INDEX(ipopt_output!D:D, (ROW(I17) - 2)*4 + 5))</f>
        <v>2480</v>
      </c>
      <c r="J17">
        <f>AVERAGE(INDEX(ipopt_output!E:E, (ROW(I17) - 2)*4 + 2):INDEX(ipopt_output!E:E, (ROW(I17) - 2)*4 + 5))</f>
        <v>1080</v>
      </c>
      <c r="K17">
        <f>(AVERAGE(INDEX(ipopt_output!N:N, (ROW(I17) - 2)*4 + 2):INDEX(ipopt_output!N:N, (ROW(I17) - 2)*4 + 5))-AVERAGE(INDEX(ipopt_output!O:O, (ROW(I17) - 2)*4 + 2):INDEX(ipopt_output!O:O, (ROW(I17) - 2)*4 + 5)))/AVERAGE(INDEX(ipopt_output!N:N, (ROW(I17) - 2)*4 + 2):INDEX(ipopt_output!N:N, (ROW(I17) - 2)*4 + 5))</f>
        <v>0.9892289286147764</v>
      </c>
    </row>
    <row r="18" spans="1:11" x14ac:dyDescent="0.25">
      <c r="A18" s="3"/>
      <c r="B18" s="3" t="s">
        <v>47</v>
      </c>
      <c r="C18" t="s">
        <v>52</v>
      </c>
      <c r="D18">
        <f>AVERAGE(INDEX(ipopt_output!G:G, (ROW(D18) - 2)*4 + 2):INDEX(ipopt_output!G:G, (ROW(D18) - 2)*4 + 5))</f>
        <v>12461.0682815782</v>
      </c>
      <c r="E18">
        <f>AVERAGE(INDEX(ipopt_output!R:R, (ROW(D18) - 2)*4 + 2):INDEX(ipopt_output!R:R, (ROW(D18) - 2)*4 + 5))</f>
        <v>66.831649999999996</v>
      </c>
      <c r="F18">
        <f>AVERAGE(INDEX(ipopt_output!F:F, (ROW(D18) - 2)*4 + 2):INDEX(ipopt_output!F:F, (ROW(D18) - 2)*4 + 5))</f>
        <v>377</v>
      </c>
      <c r="G18">
        <f>AVERAGE(INDEX(ipopt_output!J:J, (ROW(G18) - 2)*4 + 2):INDEX(ipopt_output!J:J, (ROW(G18) - 2)*4 + 5))</f>
        <v>13.093</v>
      </c>
      <c r="H18">
        <f>AVERAGE(INDEX(ipopt_output!C:C, (ROW(D18) - 2)*4 + 2):INDEX(ipopt_output!C:C, (ROW(D18) - 2)*4 + 5))</f>
        <v>3400</v>
      </c>
      <c r="I18">
        <f>AVERAGE(INDEX(ipopt_output!D:D, (ROW(I18) - 2)*4 + 2):INDEX(ipopt_output!D:D, (ROW(I18) - 2)*4 + 5))</f>
        <v>2787</v>
      </c>
      <c r="J18">
        <f>AVERAGE(INDEX(ipopt_output!E:E, (ROW(I18) - 2)*4 + 2):INDEX(ipopt_output!E:E, (ROW(I18) - 2)*4 + 5))</f>
        <v>1180</v>
      </c>
    </row>
    <row r="19" spans="1:11" x14ac:dyDescent="0.25">
      <c r="A19" s="3"/>
      <c r="B19" s="3"/>
      <c r="C19" t="s">
        <v>53</v>
      </c>
      <c r="D19">
        <f>AVERAGE(INDEX(ipopt_output!G:G, (ROW(D19) - 2)*4 + 2):INDEX(ipopt_output!G:G, (ROW(D19) - 2)*4 + 5))</f>
        <v>52633.830010848098</v>
      </c>
      <c r="E19">
        <f>AVERAGE(INDEX(ipopt_output!R:R, (ROW(D19) - 2)*4 + 2):INDEX(ipopt_output!R:R, (ROW(D19) - 2)*4 + 5))</f>
        <v>387.97725000000003</v>
      </c>
      <c r="F19">
        <f>AVERAGE(INDEX(ipopt_output!F:F, (ROW(D19) - 2)*4 + 2):INDEX(ipopt_output!F:F, (ROW(D19) - 2)*4 + 5))</f>
        <v>116</v>
      </c>
      <c r="G19">
        <f>AVERAGE(INDEX(ipopt_output!J:J, (ROW(G19) - 2)*4 + 2):INDEX(ipopt_output!J:J, (ROW(G19) - 2)*4 + 5))</f>
        <v>340.54575</v>
      </c>
      <c r="H19">
        <f>AVERAGE(INDEX(ipopt_output!C:C, (ROW(D19) - 2)*4 + 2):INDEX(ipopt_output!C:C, (ROW(D19) - 2)*4 + 5))</f>
        <v>12436</v>
      </c>
      <c r="I19">
        <f>AVERAGE(INDEX(ipopt_output!D:D, (ROW(I19) - 2)*4 + 2):INDEX(ipopt_output!D:D, (ROW(I19) - 2)*4 + 5))</f>
        <v>11810</v>
      </c>
      <c r="J19">
        <f>AVERAGE(INDEX(ipopt_output!E:E, (ROW(I19) - 2)*4 + 2):INDEX(ipopt_output!E:E, (ROW(I19) - 2)*4 + 5))</f>
        <v>1080</v>
      </c>
      <c r="K19">
        <f>(AVERAGE(INDEX(ipopt_output!N:N, (ROW(I19) - 2)*4 + 2):INDEX(ipopt_output!N:N, (ROW(I19) - 2)*4 + 5))-AVERAGE(INDEX(ipopt_output!O:O, (ROW(I19) - 2)*4 + 2):INDEX(ipopt_output!O:O, (ROW(I19) - 2)*4 + 5)))/AVERAGE(INDEX(ipopt_output!N:N, (ROW(I19) - 2)*4 + 2):INDEX(ipopt_output!N:N, (ROW(I19) - 2)*4 + 5))</f>
        <v>0.95978202868554241</v>
      </c>
    </row>
  </sheetData>
  <mergeCells count="12">
    <mergeCell ref="B16:B17"/>
    <mergeCell ref="B18:B19"/>
    <mergeCell ref="A2:A7"/>
    <mergeCell ref="A8:A13"/>
    <mergeCell ref="A14:A19"/>
    <mergeCell ref="B2:B3"/>
    <mergeCell ref="B4:B5"/>
    <mergeCell ref="B6:B7"/>
    <mergeCell ref="B8:B9"/>
    <mergeCell ref="B10:B11"/>
    <mergeCell ref="B12:B13"/>
    <mergeCell ref="B14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ipopt_output</vt:lpstr>
      <vt:lpstr>paper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Rosa</cp:lastModifiedBy>
  <dcterms:created xsi:type="dcterms:W3CDTF">2026-04-08T01:24:13Z</dcterms:created>
  <dcterms:modified xsi:type="dcterms:W3CDTF">2026-04-18T19:44:15Z</dcterms:modified>
</cp:coreProperties>
</file>