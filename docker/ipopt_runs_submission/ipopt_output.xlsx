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\Documents\Sync\IIT\Research Papers\MECC 2026\repo\docker\ipopt_runs_submission\"/>
    </mc:Choice>
  </mc:AlternateContent>
  <xr:revisionPtr revIDLastSave="0" documentId="13_ncr:1_{556FD34A-7617-4D7F-A1E4-B75E88ED91F8}" xr6:coauthVersionLast="47" xr6:coauthVersionMax="47" xr10:uidLastSave="{00000000-0000-0000-0000-000000000000}"/>
  <bookViews>
    <workbookView xWindow="-120" yWindow="-120" windowWidth="51840" windowHeight="21120" activeTab="4" xr2:uid="{0A151A32-934F-4762-939F-B462AE23ACAB}"/>
  </bookViews>
  <sheets>
    <sheet name="ipopt_output" sheetId="5" r:id="rId1"/>
    <sheet name="averages" sheetId="2" r:id="rId2"/>
    <sheet name="std. dev" sheetId="3" r:id="rId3"/>
    <sheet name="csv" sheetId="7" r:id="rId4"/>
    <sheet name="paper_table" sheetId="8" r:id="rId5"/>
  </sheets>
  <definedNames>
    <definedName name="CSVPath">csv!$A$2</definedName>
    <definedName name="ExternalData_1" localSheetId="0" hidden="1">ipopt_output!$A$1:$T$73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 a="1"/>
  <c r="A2" i="7" s="1"/>
  <c r="U2" i="2"/>
  <c r="Q2" i="3" s="1"/>
  <c r="B1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A1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A1" i="2"/>
  <c r="U3" i="2" l="1" a="1"/>
  <c r="U3" i="2" s="1"/>
  <c r="U4" i="2" s="1" a="1"/>
  <c r="U4" i="2" s="1"/>
  <c r="B2" i="3" a="1"/>
  <c r="B2" i="3" s="1"/>
  <c r="A2" i="3" a="1"/>
  <c r="A2" i="3" s="1"/>
  <c r="F2" i="2"/>
  <c r="F2" i="8" s="1"/>
  <c r="E2" i="2"/>
  <c r="J2" i="8" s="1"/>
  <c r="D2" i="2"/>
  <c r="I2" i="8" s="1"/>
  <c r="T2" i="3"/>
  <c r="S2" i="3"/>
  <c r="C2" i="2"/>
  <c r="H2" i="8" s="1"/>
  <c r="R2" i="3"/>
  <c r="E2" i="3"/>
  <c r="F2" i="3"/>
  <c r="K2" i="2"/>
  <c r="J2" i="3"/>
  <c r="M2" i="3"/>
  <c r="P2" i="3"/>
  <c r="G2" i="3"/>
  <c r="L2" i="2"/>
  <c r="M2" i="2"/>
  <c r="I2" i="3"/>
  <c r="N2" i="2"/>
  <c r="R2" i="2"/>
  <c r="E2" i="8" s="1"/>
  <c r="B2" i="2" a="1"/>
  <c r="B2" i="2" s="1"/>
  <c r="H2" i="3"/>
  <c r="O2" i="2"/>
  <c r="K2" i="3"/>
  <c r="P2" i="2"/>
  <c r="L2" i="3"/>
  <c r="Q2" i="2"/>
  <c r="T2" i="2"/>
  <c r="N2" i="3"/>
  <c r="S2" i="2"/>
  <c r="A2" i="2" a="1"/>
  <c r="A2" i="2" s="1"/>
  <c r="O2" i="3"/>
  <c r="C2" i="3"/>
  <c r="G2" i="2"/>
  <c r="D2" i="8" s="1"/>
  <c r="H2" i="2"/>
  <c r="D2" i="3"/>
  <c r="I2" i="2"/>
  <c r="J2" i="2"/>
  <c r="G2" i="8" s="1"/>
  <c r="D4" i="3" l="1"/>
  <c r="E4" i="3"/>
  <c r="J4" i="2"/>
  <c r="G4" i="8" s="1"/>
  <c r="T4" i="2"/>
  <c r="F4" i="3"/>
  <c r="K4" i="2"/>
  <c r="H4" i="3"/>
  <c r="M4" i="2"/>
  <c r="I4" i="3"/>
  <c r="L4" i="3"/>
  <c r="Q4" i="2"/>
  <c r="S4" i="2"/>
  <c r="G4" i="3"/>
  <c r="L4" i="2"/>
  <c r="N4" i="2"/>
  <c r="J4" i="3"/>
  <c r="O4" i="2"/>
  <c r="K4" i="3"/>
  <c r="P4" i="2"/>
  <c r="O4" i="3"/>
  <c r="M4" i="3"/>
  <c r="R4" i="2"/>
  <c r="E4" i="8" s="1"/>
  <c r="N4" i="3"/>
  <c r="T4" i="3"/>
  <c r="F4" i="2"/>
  <c r="F4" i="8" s="1"/>
  <c r="A4" i="3" a="1"/>
  <c r="A4" i="3" s="1"/>
  <c r="G4" i="2"/>
  <c r="D4" i="8" s="1"/>
  <c r="C4" i="3"/>
  <c r="B4" i="3" a="1"/>
  <c r="B4" i="3" s="1"/>
  <c r="H4" i="2"/>
  <c r="I4" i="2"/>
  <c r="A4" i="2" a="1"/>
  <c r="A4" i="2" s="1"/>
  <c r="C4" i="2"/>
  <c r="H4" i="8" s="1"/>
  <c r="R4" i="3"/>
  <c r="P4" i="3"/>
  <c r="S4" i="3"/>
  <c r="B4" i="2" a="1"/>
  <c r="B4" i="2" s="1"/>
  <c r="Q4" i="3"/>
  <c r="D4" i="2"/>
  <c r="I4" i="8" s="1"/>
  <c r="E4" i="2"/>
  <c r="J4" i="8" s="1"/>
  <c r="U5" i="2" a="1"/>
  <c r="U5" i="2" s="1"/>
  <c r="U6" i="2" s="1" a="1"/>
  <c r="U6" i="2" s="1"/>
  <c r="G3" i="2"/>
  <c r="D3" i="8" s="1"/>
  <c r="C3" i="3"/>
  <c r="H3" i="2"/>
  <c r="F3" i="3"/>
  <c r="K3" i="2"/>
  <c r="L3" i="2"/>
  <c r="J3" i="3"/>
  <c r="O3" i="2"/>
  <c r="D3" i="3"/>
  <c r="I3" i="2"/>
  <c r="J3" i="2"/>
  <c r="G3" i="8" s="1"/>
  <c r="R3" i="2"/>
  <c r="E3" i="8" s="1"/>
  <c r="E3" i="3"/>
  <c r="G3" i="3"/>
  <c r="H3" i="3"/>
  <c r="M3" i="2"/>
  <c r="N3" i="2"/>
  <c r="K3" i="8" s="1"/>
  <c r="M3" i="3"/>
  <c r="I3" i="3"/>
  <c r="K3" i="3"/>
  <c r="P3" i="2"/>
  <c r="L3" i="3"/>
  <c r="Q3" i="2"/>
  <c r="R3" i="3"/>
  <c r="A3" i="3" a="1"/>
  <c r="A3" i="3" s="1"/>
  <c r="C3" i="2"/>
  <c r="H3" i="8" s="1"/>
  <c r="S3" i="3"/>
  <c r="B3" i="3" a="1"/>
  <c r="B3" i="3" s="1"/>
  <c r="D3" i="2"/>
  <c r="I3" i="8" s="1"/>
  <c r="T3" i="3"/>
  <c r="E3" i="2"/>
  <c r="J3" i="8" s="1"/>
  <c r="F3" i="2"/>
  <c r="F3" i="8" s="1"/>
  <c r="N3" i="3"/>
  <c r="T3" i="2"/>
  <c r="O3" i="3"/>
  <c r="P3" i="3"/>
  <c r="Q3" i="3"/>
  <c r="S3" i="2"/>
  <c r="B3" i="2" a="1"/>
  <c r="B3" i="2" s="1"/>
  <c r="A3" i="2" a="1"/>
  <c r="A3" i="2" s="1"/>
  <c r="H6" i="3" l="1"/>
  <c r="A6" i="3" a="1"/>
  <c r="A6" i="3" s="1"/>
  <c r="I6" i="3"/>
  <c r="B6" i="3" a="1"/>
  <c r="B6" i="3" s="1"/>
  <c r="N6" i="2"/>
  <c r="M6" i="3"/>
  <c r="C6" i="2"/>
  <c r="H6" i="8" s="1"/>
  <c r="J6" i="3"/>
  <c r="O6" i="2"/>
  <c r="P6" i="2"/>
  <c r="L6" i="3"/>
  <c r="Q6" i="2"/>
  <c r="P6" i="3"/>
  <c r="K6" i="3"/>
  <c r="R6" i="2"/>
  <c r="E6" i="8" s="1"/>
  <c r="S6" i="3"/>
  <c r="N6" i="3"/>
  <c r="S6" i="2"/>
  <c r="O6" i="3"/>
  <c r="T6" i="2"/>
  <c r="D6" i="2"/>
  <c r="I6" i="8" s="1"/>
  <c r="Q6" i="3"/>
  <c r="R6" i="3"/>
  <c r="D6" i="3"/>
  <c r="E6" i="3"/>
  <c r="J6" i="2"/>
  <c r="G6" i="8" s="1"/>
  <c r="F6" i="3"/>
  <c r="K6" i="2"/>
  <c r="B6" i="2" a="1"/>
  <c r="B6" i="2" s="1"/>
  <c r="G6" i="3"/>
  <c r="L6" i="2"/>
  <c r="M6" i="2"/>
  <c r="H6" i="2"/>
  <c r="I6" i="2"/>
  <c r="E6" i="2"/>
  <c r="J6" i="8" s="1"/>
  <c r="F6" i="2"/>
  <c r="F6" i="8" s="1"/>
  <c r="G6" i="2"/>
  <c r="D6" i="8" s="1"/>
  <c r="C6" i="3"/>
  <c r="T6" i="3"/>
  <c r="A6" i="2" a="1"/>
  <c r="A6" i="2" s="1"/>
  <c r="F5" i="3"/>
  <c r="G5" i="3"/>
  <c r="L5" i="2"/>
  <c r="K5" i="3"/>
  <c r="H5" i="3"/>
  <c r="M5" i="2"/>
  <c r="N5" i="2"/>
  <c r="J5" i="3"/>
  <c r="O5" i="2"/>
  <c r="P5" i="2"/>
  <c r="Q5" i="3"/>
  <c r="I5" i="3"/>
  <c r="N5" i="3"/>
  <c r="S5" i="2"/>
  <c r="L5" i="3"/>
  <c r="Q5" i="2"/>
  <c r="M5" i="3"/>
  <c r="R5" i="2"/>
  <c r="E5" i="8" s="1"/>
  <c r="O5" i="3"/>
  <c r="T5" i="2"/>
  <c r="P5" i="3"/>
  <c r="C5" i="3"/>
  <c r="H5" i="2"/>
  <c r="B5" i="3" a="1"/>
  <c r="B5" i="3" s="1"/>
  <c r="D5" i="3"/>
  <c r="I5" i="2"/>
  <c r="E5" i="3"/>
  <c r="A5" i="3" a="1"/>
  <c r="A5" i="3" s="1"/>
  <c r="J5" i="2"/>
  <c r="G5" i="8" s="1"/>
  <c r="K5" i="2"/>
  <c r="E5" i="2"/>
  <c r="J5" i="8" s="1"/>
  <c r="F5" i="2"/>
  <c r="F5" i="8" s="1"/>
  <c r="G5" i="2"/>
  <c r="D5" i="8" s="1"/>
  <c r="S5" i="3"/>
  <c r="B5" i="2" a="1"/>
  <c r="B5" i="2" s="1"/>
  <c r="T5" i="3"/>
  <c r="R5" i="3"/>
  <c r="A5" i="2" a="1"/>
  <c r="A5" i="2" s="1"/>
  <c r="C5" i="2"/>
  <c r="H5" i="8" s="1"/>
  <c r="D5" i="2"/>
  <c r="I5" i="8" s="1"/>
  <c r="U7" i="2" a="1"/>
  <c r="U7" i="2" s="1"/>
  <c r="K5" i="8" l="1"/>
  <c r="J7" i="3"/>
  <c r="K7" i="3"/>
  <c r="A7" i="3" a="1"/>
  <c r="A7" i="3" s="1"/>
  <c r="P7" i="2"/>
  <c r="N7" i="3"/>
  <c r="C7" i="2"/>
  <c r="H7" i="8" s="1"/>
  <c r="L7" i="3"/>
  <c r="B7" i="3" a="1"/>
  <c r="B7" i="3" s="1"/>
  <c r="Q7" i="2"/>
  <c r="R7" i="2"/>
  <c r="E7" i="8" s="1"/>
  <c r="S7" i="2"/>
  <c r="O7" i="3"/>
  <c r="R7" i="3"/>
  <c r="M7" i="3"/>
  <c r="T7" i="2"/>
  <c r="P7" i="3"/>
  <c r="Q7" i="3"/>
  <c r="E7" i="2"/>
  <c r="J7" i="8" s="1"/>
  <c r="S7" i="3"/>
  <c r="D7" i="2"/>
  <c r="I7" i="8" s="1"/>
  <c r="T7" i="3"/>
  <c r="F7" i="3"/>
  <c r="G7" i="3"/>
  <c r="L7" i="2"/>
  <c r="H7" i="3"/>
  <c r="M7" i="2"/>
  <c r="A7" i="2" a="1"/>
  <c r="A7" i="2" s="1"/>
  <c r="B7" i="2" a="1"/>
  <c r="B7" i="2" s="1"/>
  <c r="I7" i="3"/>
  <c r="N7" i="2"/>
  <c r="O7" i="2"/>
  <c r="F7" i="2"/>
  <c r="F7" i="8" s="1"/>
  <c r="K7" i="2"/>
  <c r="I7" i="2"/>
  <c r="D7" i="3"/>
  <c r="J7" i="2"/>
  <c r="G7" i="8" s="1"/>
  <c r="C7" i="3"/>
  <c r="G7" i="2"/>
  <c r="D7" i="8" s="1"/>
  <c r="H7" i="2"/>
  <c r="E7" i="3"/>
  <c r="U8" i="2" a="1"/>
  <c r="U8" i="2" s="1"/>
  <c r="K7" i="8" l="1"/>
  <c r="U9" i="2" a="1"/>
  <c r="U9" i="2" s="1"/>
  <c r="L8" i="3"/>
  <c r="M8" i="3"/>
  <c r="R8" i="2"/>
  <c r="B8" i="3" a="1"/>
  <c r="B8" i="3" s="1"/>
  <c r="Q8" i="3"/>
  <c r="E8" i="2"/>
  <c r="N8" i="3"/>
  <c r="S8" i="2"/>
  <c r="T8" i="2"/>
  <c r="P8" i="3"/>
  <c r="T8" i="3"/>
  <c r="G8" i="2"/>
  <c r="O8" i="3"/>
  <c r="A8" i="3" a="1"/>
  <c r="A8" i="3" s="1"/>
  <c r="H8" i="2"/>
  <c r="R8" i="3"/>
  <c r="C8" i="2"/>
  <c r="S8" i="3"/>
  <c r="D8" i="2"/>
  <c r="F8" i="2"/>
  <c r="H8" i="3"/>
  <c r="I8" i="3"/>
  <c r="N8" i="2"/>
  <c r="J8" i="3"/>
  <c r="O8" i="2"/>
  <c r="K8" i="3"/>
  <c r="P8" i="2"/>
  <c r="Q8" i="2"/>
  <c r="B8" i="2" a="1"/>
  <c r="B8" i="2" s="1"/>
  <c r="A8" i="2" a="1"/>
  <c r="A8" i="2" s="1"/>
  <c r="C8" i="3"/>
  <c r="G8" i="3"/>
  <c r="J8" i="2"/>
  <c r="I8" i="2"/>
  <c r="L8" i="2"/>
  <c r="D8" i="3"/>
  <c r="M8" i="2"/>
  <c r="K8" i="2"/>
  <c r="E8" i="3"/>
  <c r="F8" i="3"/>
  <c r="U10" i="2" a="1"/>
  <c r="U10" i="2" s="1"/>
  <c r="U11" i="2" l="1" a="1"/>
  <c r="U11" i="2" s="1"/>
  <c r="P10" i="3"/>
  <c r="G10" i="3"/>
  <c r="Q10" i="3"/>
  <c r="B10" i="2" a="1"/>
  <c r="B10" i="2" s="1"/>
  <c r="I10" i="2"/>
  <c r="L10" i="2"/>
  <c r="R10" i="3"/>
  <c r="C10" i="2"/>
  <c r="D10" i="2"/>
  <c r="T10" i="3"/>
  <c r="E10" i="2"/>
  <c r="A10" i="2" a="1"/>
  <c r="A10" i="2" s="1"/>
  <c r="S10" i="3"/>
  <c r="F10" i="2"/>
  <c r="A10" i="3" a="1"/>
  <c r="A10" i="3" s="1"/>
  <c r="G10" i="2"/>
  <c r="C10" i="3"/>
  <c r="B10" i="3" a="1"/>
  <c r="B10" i="3" s="1"/>
  <c r="H10" i="2"/>
  <c r="D10" i="3"/>
  <c r="K10" i="2"/>
  <c r="E10" i="3"/>
  <c r="J10" i="2"/>
  <c r="F10" i="3"/>
  <c r="L10" i="3"/>
  <c r="M10" i="3"/>
  <c r="R10" i="2"/>
  <c r="N10" i="3"/>
  <c r="S10" i="2"/>
  <c r="O10" i="3"/>
  <c r="T10" i="2"/>
  <c r="H10" i="3"/>
  <c r="N10" i="2"/>
  <c r="Q10" i="2"/>
  <c r="M10" i="2"/>
  <c r="J10" i="3"/>
  <c r="P10" i="2"/>
  <c r="I10" i="3"/>
  <c r="O10" i="2"/>
  <c r="K10" i="3"/>
  <c r="O9" i="3"/>
  <c r="T9" i="2"/>
  <c r="B9" i="2" a="1"/>
  <c r="B9" i="2" s="1"/>
  <c r="R9" i="3"/>
  <c r="E9" i="3"/>
  <c r="P9" i="3"/>
  <c r="A9" i="2" a="1"/>
  <c r="A9" i="2" s="1"/>
  <c r="C9" i="2"/>
  <c r="H9" i="8" s="1"/>
  <c r="S9" i="3"/>
  <c r="A9" i="3" a="1"/>
  <c r="A9" i="3" s="1"/>
  <c r="I9" i="2"/>
  <c r="Q9" i="3"/>
  <c r="D9" i="2"/>
  <c r="I9" i="8" s="1"/>
  <c r="T9" i="3"/>
  <c r="B9" i="3" a="1"/>
  <c r="B9" i="3" s="1"/>
  <c r="E9" i="2"/>
  <c r="J9" i="8" s="1"/>
  <c r="G9" i="2"/>
  <c r="D9" i="8" s="1"/>
  <c r="F9" i="2"/>
  <c r="F9" i="8" s="1"/>
  <c r="C9" i="3"/>
  <c r="H9" i="2"/>
  <c r="D9" i="3"/>
  <c r="J9" i="3"/>
  <c r="K9" i="3"/>
  <c r="P9" i="2"/>
  <c r="L9" i="3"/>
  <c r="Q9" i="2"/>
  <c r="R9" i="2"/>
  <c r="E9" i="8" s="1"/>
  <c r="M9" i="3"/>
  <c r="N9" i="3"/>
  <c r="S9" i="2"/>
  <c r="L9" i="2"/>
  <c r="F9" i="3"/>
  <c r="M9" i="2"/>
  <c r="G9" i="3"/>
  <c r="N9" i="2"/>
  <c r="H9" i="3"/>
  <c r="O9" i="2"/>
  <c r="I9" i="3"/>
  <c r="K9" i="2"/>
  <c r="J9" i="2"/>
  <c r="G9" i="8" s="1"/>
  <c r="K9" i="8" l="1"/>
  <c r="U12" i="2" a="1"/>
  <c r="U12" i="2" s="1"/>
  <c r="R11" i="3"/>
  <c r="S11" i="3"/>
  <c r="D11" i="2"/>
  <c r="I11" i="8" s="1"/>
  <c r="G11" i="2"/>
  <c r="D11" i="8" s="1"/>
  <c r="C11" i="3"/>
  <c r="F11" i="3"/>
  <c r="K11" i="2"/>
  <c r="T11" i="3"/>
  <c r="E11" i="2"/>
  <c r="J11" i="8" s="1"/>
  <c r="F11" i="2"/>
  <c r="F11" i="8" s="1"/>
  <c r="A11" i="3" a="1"/>
  <c r="A11" i="3" s="1"/>
  <c r="I11" i="3"/>
  <c r="H11" i="2"/>
  <c r="B11" i="2" a="1"/>
  <c r="B11" i="2" s="1"/>
  <c r="A11" i="2" a="1"/>
  <c r="A11" i="2" s="1"/>
  <c r="D11" i="3"/>
  <c r="I11" i="2"/>
  <c r="E11" i="3"/>
  <c r="J11" i="2"/>
  <c r="G11" i="8" s="1"/>
  <c r="M11" i="2"/>
  <c r="G11" i="3"/>
  <c r="B11" i="3" a="1"/>
  <c r="B11" i="3" s="1"/>
  <c r="L11" i="2"/>
  <c r="H11" i="3"/>
  <c r="N11" i="3"/>
  <c r="O11" i="3"/>
  <c r="T11" i="2"/>
  <c r="P11" i="3"/>
  <c r="Q11" i="3"/>
  <c r="C11" i="2"/>
  <c r="H11" i="8" s="1"/>
  <c r="S11" i="2"/>
  <c r="N11" i="2"/>
  <c r="P11" i="2"/>
  <c r="R11" i="2"/>
  <c r="E11" i="8" s="1"/>
  <c r="K11" i="3"/>
  <c r="O11" i="2"/>
  <c r="J11" i="3"/>
  <c r="L11" i="3"/>
  <c r="M11" i="3"/>
  <c r="Q11" i="2"/>
  <c r="K11" i="8" l="1"/>
  <c r="U13" i="2" a="1"/>
  <c r="U13" i="2" s="1"/>
  <c r="T12" i="3"/>
  <c r="F12" i="2"/>
  <c r="F12" i="8" s="1"/>
  <c r="M12" i="2"/>
  <c r="G12" i="2"/>
  <c r="D12" i="8" s="1"/>
  <c r="C12" i="3"/>
  <c r="H12" i="2"/>
  <c r="D12" i="3"/>
  <c r="I12" i="2"/>
  <c r="E12" i="3"/>
  <c r="H12" i="3"/>
  <c r="O12" i="2"/>
  <c r="K12" i="3"/>
  <c r="J12" i="2"/>
  <c r="G12" i="8" s="1"/>
  <c r="B12" i="3" a="1"/>
  <c r="B12" i="3" s="1"/>
  <c r="F12" i="3"/>
  <c r="K12" i="2"/>
  <c r="B12" i="2" a="1"/>
  <c r="B12" i="2" s="1"/>
  <c r="A12" i="2" a="1"/>
  <c r="A12" i="2" s="1"/>
  <c r="G12" i="3"/>
  <c r="L12" i="2"/>
  <c r="I12" i="3"/>
  <c r="N12" i="2"/>
  <c r="J12" i="3"/>
  <c r="A12" i="3" a="1"/>
  <c r="A12" i="3" s="1"/>
  <c r="P12" i="3"/>
  <c r="Q12" i="3"/>
  <c r="R12" i="3"/>
  <c r="C12" i="2"/>
  <c r="H12" i="8" s="1"/>
  <c r="S12" i="3"/>
  <c r="D12" i="2"/>
  <c r="I12" i="8" s="1"/>
  <c r="E12" i="2"/>
  <c r="J12" i="8" s="1"/>
  <c r="L12" i="3"/>
  <c r="M12" i="3"/>
  <c r="N12" i="3"/>
  <c r="P12" i="2"/>
  <c r="O12" i="3"/>
  <c r="Q12" i="2"/>
  <c r="R12" i="2"/>
  <c r="E12" i="8" s="1"/>
  <c r="S12" i="2"/>
  <c r="T12" i="2"/>
  <c r="C13" i="3" l="1"/>
  <c r="H13" i="2"/>
  <c r="F13" i="3"/>
  <c r="O13" i="2"/>
  <c r="B13" i="2" a="1"/>
  <c r="B13" i="2" s="1"/>
  <c r="Q13" i="2"/>
  <c r="D13" i="3"/>
  <c r="I13" i="2"/>
  <c r="J13" i="2"/>
  <c r="G13" i="8" s="1"/>
  <c r="K13" i="2"/>
  <c r="J13" i="3"/>
  <c r="M13" i="3"/>
  <c r="E13" i="3"/>
  <c r="G13" i="3"/>
  <c r="L13" i="2"/>
  <c r="H13" i="3"/>
  <c r="M13" i="2"/>
  <c r="I13" i="3"/>
  <c r="N13" i="2"/>
  <c r="K13" i="8" s="1"/>
  <c r="A13" i="2" a="1"/>
  <c r="A13" i="2" s="1"/>
  <c r="K13" i="3"/>
  <c r="P13" i="2"/>
  <c r="L13" i="3"/>
  <c r="R13" i="3"/>
  <c r="S13" i="3"/>
  <c r="D13" i="2"/>
  <c r="I13" i="8" s="1"/>
  <c r="T13" i="3"/>
  <c r="E13" i="2"/>
  <c r="J13" i="8" s="1"/>
  <c r="F13" i="2"/>
  <c r="F13" i="8" s="1"/>
  <c r="G13" i="2"/>
  <c r="D13" i="8" s="1"/>
  <c r="Q13" i="3"/>
  <c r="C13" i="2"/>
  <c r="H13" i="8" s="1"/>
  <c r="R13" i="2"/>
  <c r="E13" i="8" s="1"/>
  <c r="S13" i="2"/>
  <c r="T13" i="2"/>
  <c r="B13" i="3" a="1"/>
  <c r="B13" i="3" s="1"/>
  <c r="A13" i="3" a="1"/>
  <c r="A13" i="3" s="1"/>
  <c r="N13" i="3"/>
  <c r="O13" i="3"/>
  <c r="P1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D650C-4A24-42FF-B859-C1D988A60628}" keepAlive="1" name="Query - ipopt_output" description="Connection to the 'ipopt_output' query in the workbook." type="5" refreshedVersion="8" background="1" refreshOnLoad="1">
    <dbPr connection="Provider=Microsoft.Mashup.OleDb.1;Data Source=$Workbook$;Location=ipopt_output;Extended Properties=&quot;&quot;" command="SELECT * FROM [ipopt_out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<sst xmlns="http://schemas.openxmlformats.org/spreadsheetml/2006/main" count="47" uniqueCount="21">
  <si>
    <t>num_runs</t>
  </si>
  <si>
    <t>Cell A2 list the path to the .csv file.  It should update automatically.  If it doesn’t, then manually update the path</t>
  </si>
  <si>
    <t>Demo</t>
  </si>
  <si>
    <t>ODE</t>
  </si>
  <si>
    <t>TOL</t>
  </si>
  <si>
    <t>Objective</t>
  </si>
  <si>
    <t>Wall Time</t>
  </si>
  <si>
    <t>Iterations</t>
  </si>
  <si>
    <t>Eval. Time</t>
  </si>
  <si>
    <t>Variables</t>
  </si>
  <si>
    <t>Eq. Constr.</t>
  </si>
  <si>
    <t>Ineq. Constr.</t>
  </si>
  <si>
    <t>Presolve</t>
  </si>
  <si>
    <t>Cart-Pole</t>
  </si>
  <si>
    <t>COL3</t>
  </si>
  <si>
    <t>OOP</t>
  </si>
  <si>
    <t>AML</t>
  </si>
  <si>
    <t>RK1</t>
  </si>
  <si>
    <t>RK4</t>
  </si>
  <si>
    <t>Spot Jump Twist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</si>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</sst>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removeDataOnSave="1" connectionId="1" xr16:uid="{C0B7F773-EDD3-4EF7-AB61-8627A89F9C80}" autoFormatId="16" applyNumberFormats="0" applyBorderFormats="0" applyFontFormats="0" applyPatternFormats="0" applyAlignmentFormats="0" applyWidthHeightFormats="0">
  <queryTableRefresh nextId="21">
    <queryTableFields count="20">
      <queryTableField id="1" name="run" tableColumnId="1"/>
      <queryTableField id="2" name="status" tableColumnId="2"/>
      <queryTableField id="3" name="variables" tableColumnId="3"/>
      <queryTableField id="4" name="equality_constraints" tableColumnId="4"/>
      <queryTableField id="5" name="inequality_constraints" tableColumnId="5"/>
      <queryTableField id="6" name="iterations" tableColumnId="6"/>
      <queryTableField id="7" name="objective_unscaled" tableColumnId="7"/>
      <queryTableField id="8" name="constraint_violation_unscaled" tableColumnId="8"/>
      <queryTableField id="9" name="ipopt_cpu_secs" tableColumnId="9"/>
      <queryTableField id="10" name="nlp_cpu_secs" tableColumnId="10"/>
      <queryTableField id="11" name="python_wall" tableColumnId="11"/>
      <queryTableField id="12" name="ampl_wall" tableColumnId="12"/>
      <queryTableField id="13" name="solve_wall" tableColumnId="13"/>
      <queryTableField id="14" name="nvars" tableColumnId="14"/>
      <queryTableField id="15" name="snvars" tableColumnId="15"/>
      <queryTableField id="16" name="ncons" tableColumnId="16"/>
      <queryTableField id="17" name="sncons" tableColumnId="17"/>
      <queryTableField id="18" name="total_wall" tableColumnId="18"/>
      <queryTableField id="19" name="run_date" tableColumnId="19"/>
      <queryTableField id="20" name="run_start_ti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AC4A6-E5FF-497A-A1B4-BC897A570A75}" name="ipopt_output" displayName="ipopt_output" ref="A1:T73" tableType="queryTable" totalsRowShown="0">
  <autoFilter ref="A1:T73" xr:uid="{DD1AC4A6-E5FF-497A-A1B4-BC897A570A75}"/>
  <tableColumns count="20">
    <tableColumn id="1" xr3:uid="{4B2F80CD-C210-4135-AC56-79A0A2F18D03}" uniqueName="1" name="run" queryTableFieldId="1" dataDxfId="1"/>
    <tableColumn id="2" xr3:uid="{33FF0FB2-9774-4A9F-B713-5D54016DB96E}" uniqueName="2" name="status" queryTableFieldId="2" dataDxfId="0"/>
    <tableColumn id="3" xr3:uid="{85719C07-C2E5-4E34-819B-9701551C460B}" uniqueName="3" name="variables" queryTableFieldId="3"/>
    <tableColumn id="4" xr3:uid="{2AD69530-84AD-49F3-BF3D-7EF8D63CB776}" uniqueName="4" name="equality_constraints" queryTableFieldId="4"/>
    <tableColumn id="5" xr3:uid="{807941AB-E4B7-4E13-AB44-1B0D73039EB1}" uniqueName="5" name="inequality_constraints" queryTableFieldId="5"/>
    <tableColumn id="6" xr3:uid="{D2F9A225-A2B0-4142-916C-47A9C657F9B2}" uniqueName="6" name="iterations" queryTableFieldId="6"/>
    <tableColumn id="7" xr3:uid="{EEDA56D3-3525-40C5-9BF4-5D62B4E2C89F}" uniqueName="7" name="objective_unscaled" queryTableFieldId="7"/>
    <tableColumn id="8" xr3:uid="{3839E1AF-4F0E-4204-AEAE-B887009C2F9A}" uniqueName="8" name="constraint_violation_unscaled" queryTableFieldId="8"/>
    <tableColumn id="9" xr3:uid="{E2C84407-9543-4044-8B32-3DA4C295D6CE}" uniqueName="9" name="ipopt_cpu_secs" queryTableFieldId="9"/>
    <tableColumn id="10" xr3:uid="{2ED249A4-0B5E-42EA-8C07-F9618AF756A9}" uniqueName="10" name="nlp_cpu_secs" queryTableFieldId="10"/>
    <tableColumn id="11" xr3:uid="{00BFCDC0-7798-49C4-B2BB-9574314A64C1}" uniqueName="11" name="python_wall" queryTableFieldId="11"/>
    <tableColumn id="12" xr3:uid="{F02E8B94-0E0D-4299-BC77-DB00DCD4C608}" uniqueName="12" name="ampl_wall" queryTableFieldId="12"/>
    <tableColumn id="13" xr3:uid="{380142DB-A4E5-454E-BB89-3D44651A8DB1}" uniqueName="13" name="solve_wall" queryTableFieldId="13"/>
    <tableColumn id="14" xr3:uid="{D7051EAB-4414-405D-B12A-E3DC733F0847}" uniqueName="14" name="nvars" queryTableFieldId="14"/>
    <tableColumn id="15" xr3:uid="{B840985A-85A8-4E66-9569-155FC7CF9E7A}" uniqueName="15" name="snvars" queryTableFieldId="15"/>
    <tableColumn id="16" xr3:uid="{764ACA5E-90E7-4A69-A1E5-017987182E0C}" uniqueName="16" name="ncons" queryTableFieldId="16"/>
    <tableColumn id="17" xr3:uid="{CAD39197-DDBB-411E-9439-875EF7C6D37E}" uniqueName="17" name="sncons" queryTableFieldId="17"/>
    <tableColumn id="18" xr3:uid="{4AC2ACBC-D656-4593-B169-6FC9AC4345AC}" uniqueName="18" name="total_wall" queryTableFieldId="18"/>
    <tableColumn id="19" xr3:uid="{E36D7E14-828D-46F4-B4D5-2C6D43E3BDCE}" uniqueName="19" name="run_date" queryTableFieldId="19"/>
    <tableColumn id="20" xr3:uid="{03E551A3-C61D-4531-9202-31100C3BC5DC}" uniqueName="20" name="run_start_time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D80A-C988-4EFA-B6E1-71ECA4A1D1AC}">
  <dimension ref="A1:T73"/>
  <sheetViews>
    <sheetView workbookViewId="0"/>
  </sheetViews>
  <sheetFormatPr defaultRowHeight="15" x14ac:dyDescent="0.25"/>
  <cols>
    <col min="1" max="1" width="24.140625" bestFit="1" customWidth="1"/>
    <col min="2" max="2" width="63.28515625" bestFit="1" customWidth="1"/>
    <col min="3" max="3" width="11.42578125" bestFit="1" customWidth="1"/>
    <col min="4" max="4" width="21.85546875" bestFit="1" customWidth="1"/>
    <col min="5" max="5" width="23.7109375" bestFit="1" customWidth="1"/>
    <col min="6" max="6" width="12" bestFit="1" customWidth="1"/>
    <col min="7" max="7" width="21" bestFit="1" customWidth="1"/>
    <col min="8" max="8" width="30.7109375" bestFit="1" customWidth="1"/>
    <col min="9" max="9" width="17.28515625" bestFit="1" customWidth="1"/>
    <col min="10" max="10" width="15.42578125" bestFit="1" customWidth="1"/>
    <col min="11" max="11" width="14" bestFit="1" customWidth="1"/>
    <col min="12" max="12" width="12.140625" bestFit="1" customWidth="1"/>
    <col min="13" max="13" width="12.5703125" bestFit="1" customWidth="1"/>
    <col min="14" max="14" width="8.140625" bestFit="1" customWidth="1"/>
    <col min="16" max="16" width="8.7109375" bestFit="1" customWidth="1"/>
    <col min="17" max="17" width="9.7109375" bestFit="1" customWidth="1"/>
    <col min="18" max="18" width="11.85546875" bestFit="1" customWidth="1"/>
    <col min="19" max="19" width="11.140625" bestFit="1" customWidth="1"/>
    <col min="20" max="20" width="16.42578125" bestFit="1" customWidth="1"/>
  </cols>
  <sheetData>
    <row r="1" spans="1:20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/>
      <c r="B2"/>
      <c r="C2"/>
      <c r="D2"/>
      <c r="E2"/>
      <c r="F2"/>
      <c r="G2"/>
      <c r="H2"/>
      <c r="I2"/>
      <c r="J2"/>
      <c r="K2"/>
      <c r="R2"/>
      <c r="S2"/>
      <c r="T2"/>
    </row>
    <row r="3" spans="1:20" x14ac:dyDescent="0.25">
      <c r="A3"/>
      <c r="B3"/>
      <c r="C3"/>
      <c r="D3"/>
      <c r="E3"/>
      <c r="F3"/>
      <c r="G3"/>
      <c r="H3"/>
      <c r="I3"/>
      <c r="J3"/>
      <c r="K3"/>
      <c r="R3"/>
      <c r="S3"/>
      <c r="T3"/>
    </row>
    <row r="4" spans="1:20" x14ac:dyDescent="0.25">
      <c r="A4"/>
      <c r="B4"/>
      <c r="C4"/>
      <c r="D4"/>
      <c r="E4"/>
      <c r="F4"/>
      <c r="G4"/>
      <c r="H4"/>
      <c r="I4"/>
      <c r="J4"/>
      <c r="K4"/>
      <c r="R4"/>
      <c r="S4"/>
      <c r="T4"/>
    </row>
    <row r="5" spans="1:20" x14ac:dyDescent="0.25">
      <c r="A5"/>
      <c r="B5"/>
      <c r="C5"/>
      <c r="D5"/>
      <c r="E5"/>
      <c r="F5"/>
      <c r="G5"/>
      <c r="H5"/>
      <c r="I5"/>
      <c r="J5"/>
      <c r="K5"/>
      <c r="R5"/>
      <c r="S5"/>
      <c r="T5"/>
    </row>
    <row r="6" spans="1:20" x14ac:dyDescent="0.25">
      <c r="A6"/>
      <c r="B6"/>
      <c r="C6"/>
      <c r="D6"/>
      <c r="E6"/>
      <c r="F6"/>
      <c r="G6"/>
      <c r="H6"/>
      <c r="I6"/>
      <c r="J6"/>
      <c r="L6"/>
      <c r="M6"/>
      <c r="N6"/>
      <c r="O6"/>
      <c r="P6"/>
      <c r="Q6"/>
      <c r="R6"/>
      <c r="S6"/>
      <c r="T6"/>
    </row>
    <row r="7" spans="1:20" x14ac:dyDescent="0.25">
      <c r="A7"/>
      <c r="B7"/>
      <c r="C7"/>
      <c r="D7"/>
      <c r="E7"/>
      <c r="F7"/>
      <c r="G7"/>
      <c r="H7"/>
      <c r="I7"/>
      <c r="J7"/>
      <c r="L7"/>
      <c r="M7"/>
      <c r="N7"/>
      <c r="O7"/>
      <c r="P7"/>
      <c r="Q7"/>
      <c r="R7"/>
      <c r="S7"/>
      <c r="T7"/>
    </row>
    <row r="8" spans="1:20" x14ac:dyDescent="0.25">
      <c r="A8"/>
      <c r="B8"/>
      <c r="C8"/>
      <c r="D8"/>
      <c r="E8"/>
      <c r="F8"/>
      <c r="G8"/>
      <c r="H8"/>
      <c r="I8"/>
      <c r="J8"/>
      <c r="L8"/>
      <c r="M8"/>
      <c r="N8"/>
      <c r="O8"/>
      <c r="P8"/>
      <c r="Q8"/>
      <c r="R8"/>
      <c r="S8"/>
      <c r="T8"/>
    </row>
    <row r="9" spans="1:20" x14ac:dyDescent="0.25">
      <c r="A9"/>
      <c r="B9"/>
      <c r="C9"/>
      <c r="D9"/>
      <c r="E9"/>
      <c r="F9"/>
      <c r="G9"/>
      <c r="H9"/>
      <c r="I9"/>
      <c r="J9"/>
      <c r="L9"/>
      <c r="M9"/>
      <c r="N9"/>
      <c r="O9"/>
      <c r="P9"/>
      <c r="Q9"/>
      <c r="R9"/>
      <c r="S9"/>
      <c r="T9"/>
    </row>
    <row r="10" spans="1:20" x14ac:dyDescent="0.25">
      <c r="A10"/>
      <c r="B10"/>
      <c r="C10"/>
      <c r="D10"/>
      <c r="E10"/>
      <c r="F10"/>
      <c r="G10"/>
      <c r="H10"/>
      <c r="I10"/>
      <c r="J10"/>
      <c r="K10"/>
      <c r="R10"/>
      <c r="S10"/>
      <c r="T10"/>
    </row>
    <row r="11" spans="1:20" x14ac:dyDescent="0.25">
      <c r="A11"/>
      <c r="B11"/>
      <c r="C11"/>
      <c r="D11"/>
      <c r="E11"/>
      <c r="F11"/>
      <c r="G11"/>
      <c r="H11"/>
      <c r="I11"/>
      <c r="J11"/>
      <c r="K11"/>
      <c r="R11"/>
      <c r="S11"/>
      <c r="T11"/>
    </row>
    <row r="12" spans="1:20" x14ac:dyDescent="0.25">
      <c r="A12"/>
      <c r="B12"/>
      <c r="C12"/>
      <c r="D12"/>
      <c r="E12"/>
      <c r="F12"/>
      <c r="G12"/>
      <c r="H12"/>
      <c r="I12"/>
      <c r="J12"/>
      <c r="K12"/>
      <c r="R12"/>
      <c r="S12"/>
      <c r="T12"/>
    </row>
    <row r="13" spans="1:20" x14ac:dyDescent="0.25">
      <c r="A13"/>
      <c r="B13"/>
      <c r="C13"/>
      <c r="D13"/>
      <c r="E13"/>
      <c r="F13"/>
      <c r="G13"/>
      <c r="H13"/>
      <c r="I13"/>
      <c r="J13"/>
      <c r="K13"/>
      <c r="R13"/>
      <c r="S13"/>
      <c r="T13"/>
    </row>
    <row r="14" spans="1:20" x14ac:dyDescent="0.25">
      <c r="A14"/>
      <c r="B14"/>
      <c r="C14"/>
      <c r="D14"/>
      <c r="E14"/>
      <c r="F14"/>
      <c r="G14"/>
      <c r="H14"/>
      <c r="I14"/>
      <c r="J14"/>
      <c r="L14"/>
      <c r="M14"/>
      <c r="N14"/>
      <c r="O14"/>
      <c r="P14"/>
      <c r="Q14"/>
      <c r="R14"/>
      <c r="S14"/>
      <c r="T14"/>
    </row>
    <row r="15" spans="1:20" x14ac:dyDescent="0.25">
      <c r="A15"/>
      <c r="B15"/>
      <c r="C15"/>
      <c r="D15"/>
      <c r="E15"/>
      <c r="F15"/>
      <c r="G15"/>
      <c r="H15"/>
      <c r="I15"/>
      <c r="J15"/>
      <c r="L15"/>
      <c r="M15"/>
      <c r="N15"/>
      <c r="O15"/>
      <c r="P15"/>
      <c r="Q15"/>
      <c r="R15"/>
      <c r="S15"/>
      <c r="T15"/>
    </row>
    <row r="16" spans="1:20" x14ac:dyDescent="0.25">
      <c r="A16"/>
      <c r="B16"/>
      <c r="C16"/>
      <c r="D16"/>
      <c r="E16"/>
      <c r="F16"/>
      <c r="G16"/>
      <c r="H16"/>
      <c r="I16"/>
      <c r="J16"/>
      <c r="L16"/>
      <c r="M16"/>
      <c r="N16"/>
      <c r="O16"/>
      <c r="P16"/>
      <c r="Q16"/>
      <c r="R16"/>
      <c r="S16"/>
      <c r="T16"/>
    </row>
    <row r="17" spans="1:20" x14ac:dyDescent="0.25">
      <c r="A17"/>
      <c r="B17"/>
      <c r="C17"/>
      <c r="D17"/>
      <c r="E17"/>
      <c r="F17"/>
      <c r="G17"/>
      <c r="H17"/>
      <c r="I17"/>
      <c r="J17"/>
      <c r="L17"/>
      <c r="M17"/>
      <c r="N17"/>
      <c r="O17"/>
      <c r="P17"/>
      <c r="Q17"/>
      <c r="R17"/>
      <c r="S17"/>
      <c r="T17"/>
    </row>
    <row r="18" spans="1:20" x14ac:dyDescent="0.25">
      <c r="A18"/>
      <c r="B18"/>
      <c r="C18"/>
      <c r="D18"/>
      <c r="E18"/>
      <c r="F18"/>
      <c r="G18"/>
      <c r="H18"/>
      <c r="I18"/>
      <c r="J18"/>
      <c r="K18"/>
      <c r="R18"/>
      <c r="S18"/>
      <c r="T18"/>
    </row>
    <row r="19" spans="1:20" x14ac:dyDescent="0.25">
      <c r="A19"/>
      <c r="B19"/>
      <c r="C19"/>
      <c r="D19"/>
      <c r="E19"/>
      <c r="F19"/>
      <c r="G19"/>
      <c r="H19"/>
      <c r="I19"/>
      <c r="J19"/>
      <c r="K19"/>
      <c r="R19"/>
      <c r="S19"/>
      <c r="T19"/>
    </row>
    <row r="20" spans="1:20" x14ac:dyDescent="0.25">
      <c r="A20"/>
      <c r="B20"/>
      <c r="C20"/>
      <c r="D20"/>
      <c r="E20"/>
      <c r="F20"/>
      <c r="G20"/>
      <c r="H20"/>
      <c r="I20"/>
      <c r="J20"/>
      <c r="K20"/>
      <c r="R20"/>
      <c r="S20"/>
      <c r="T20"/>
    </row>
    <row r="21" spans="1:20" x14ac:dyDescent="0.25">
      <c r="A21"/>
      <c r="B21"/>
      <c r="C21"/>
      <c r="D21"/>
      <c r="E21"/>
      <c r="F21"/>
      <c r="G21"/>
      <c r="H21"/>
      <c r="I21"/>
      <c r="J21"/>
      <c r="K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L22"/>
      <c r="M22"/>
      <c r="N22"/>
      <c r="O22"/>
      <c r="P22"/>
      <c r="Q22"/>
      <c r="R22"/>
      <c r="S22"/>
      <c r="T22"/>
    </row>
    <row r="23" spans="1:20" x14ac:dyDescent="0.25">
      <c r="A23"/>
      <c r="B23"/>
      <c r="C23"/>
      <c r="D23"/>
      <c r="E23"/>
      <c r="F23"/>
      <c r="G23"/>
      <c r="H23"/>
      <c r="I23"/>
      <c r="J23"/>
      <c r="L23"/>
      <c r="M23"/>
      <c r="N23"/>
      <c r="O23"/>
      <c r="P23"/>
      <c r="Q23"/>
      <c r="R23"/>
      <c r="S23"/>
      <c r="T23"/>
    </row>
    <row r="24" spans="1:20" x14ac:dyDescent="0.25">
      <c r="A24"/>
      <c r="B24"/>
      <c r="C24"/>
      <c r="D24"/>
      <c r="E24"/>
      <c r="F24"/>
      <c r="G24"/>
      <c r="H24"/>
      <c r="I24"/>
      <c r="J24"/>
      <c r="L24"/>
      <c r="M24"/>
      <c r="N24"/>
      <c r="O24"/>
      <c r="P24"/>
      <c r="Q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L25"/>
      <c r="M25"/>
      <c r="N25"/>
      <c r="O25"/>
      <c r="P25"/>
      <c r="Q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L30"/>
      <c r="M30"/>
      <c r="N30"/>
      <c r="O30"/>
      <c r="P30"/>
      <c r="Q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L31"/>
      <c r="M31"/>
      <c r="N31"/>
      <c r="O31"/>
      <c r="P31"/>
      <c r="Q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L32"/>
      <c r="M32"/>
      <c r="N32"/>
      <c r="O32"/>
      <c r="P32"/>
      <c r="Q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L33"/>
      <c r="M33"/>
      <c r="N33"/>
      <c r="O33"/>
      <c r="P33"/>
      <c r="Q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R36"/>
      <c r="S36"/>
      <c r="T36"/>
    </row>
    <row r="37" spans="1:20" x14ac:dyDescent="0.25">
      <c r="A37"/>
      <c r="B37"/>
      <c r="C37"/>
      <c r="D37"/>
      <c r="E37"/>
      <c r="F37"/>
      <c r="G37"/>
      <c r="H37"/>
      <c r="I37"/>
      <c r="J37"/>
      <c r="K37"/>
      <c r="R37"/>
      <c r="S37"/>
      <c r="T37"/>
    </row>
    <row r="38" spans="1:20" x14ac:dyDescent="0.25">
      <c r="A38"/>
      <c r="B38"/>
      <c r="C38"/>
      <c r="D38"/>
      <c r="E38"/>
      <c r="F38"/>
      <c r="G38"/>
      <c r="H38"/>
      <c r="I38"/>
      <c r="J38"/>
      <c r="L38"/>
      <c r="M38"/>
      <c r="N38"/>
      <c r="O38"/>
      <c r="P38"/>
      <c r="Q38"/>
      <c r="R38"/>
      <c r="S38"/>
      <c r="T38"/>
    </row>
    <row r="39" spans="1:20" x14ac:dyDescent="0.25">
      <c r="A39"/>
      <c r="B39"/>
      <c r="C39"/>
      <c r="D39"/>
      <c r="E39"/>
      <c r="F39"/>
      <c r="G39"/>
      <c r="H39"/>
      <c r="I39"/>
      <c r="J39"/>
      <c r="L39"/>
      <c r="M39"/>
      <c r="N39"/>
      <c r="O39"/>
      <c r="P39"/>
      <c r="Q39"/>
      <c r="R39"/>
      <c r="S39"/>
      <c r="T39"/>
    </row>
    <row r="40" spans="1:20" x14ac:dyDescent="0.25">
      <c r="A40"/>
      <c r="B40"/>
      <c r="C40"/>
      <c r="D40"/>
      <c r="E40"/>
      <c r="F40"/>
      <c r="G40"/>
      <c r="H40"/>
      <c r="I40"/>
      <c r="J40"/>
      <c r="L40"/>
      <c r="M40"/>
      <c r="N40"/>
      <c r="O40"/>
      <c r="P40"/>
      <c r="Q40"/>
      <c r="R40"/>
      <c r="S40"/>
      <c r="T40"/>
    </row>
    <row r="41" spans="1:20" x14ac:dyDescent="0.25">
      <c r="A41"/>
      <c r="B41"/>
      <c r="C41"/>
      <c r="D41"/>
      <c r="E41"/>
      <c r="F41"/>
      <c r="G41"/>
      <c r="H41"/>
      <c r="I41"/>
      <c r="J41"/>
      <c r="L41"/>
      <c r="M41"/>
      <c r="N41"/>
      <c r="O41"/>
      <c r="P41"/>
      <c r="Q41"/>
      <c r="R41"/>
      <c r="S41"/>
      <c r="T41"/>
    </row>
    <row r="42" spans="1:20" x14ac:dyDescent="0.25">
      <c r="A42"/>
      <c r="B42"/>
      <c r="C42"/>
      <c r="D42"/>
      <c r="E42"/>
      <c r="F42"/>
      <c r="G42"/>
      <c r="H42"/>
      <c r="I42"/>
      <c r="J42"/>
      <c r="K42"/>
      <c r="R42"/>
      <c r="S42"/>
      <c r="T42"/>
    </row>
    <row r="43" spans="1:20" x14ac:dyDescent="0.25">
      <c r="A43"/>
      <c r="B43"/>
      <c r="C43"/>
      <c r="D43"/>
      <c r="E43"/>
      <c r="F43"/>
      <c r="G43"/>
      <c r="H43"/>
      <c r="I43"/>
      <c r="J43"/>
      <c r="K43"/>
      <c r="R43"/>
      <c r="S43"/>
      <c r="T43"/>
    </row>
    <row r="44" spans="1:20" x14ac:dyDescent="0.25">
      <c r="A44"/>
      <c r="B44"/>
      <c r="C44"/>
      <c r="D44"/>
      <c r="E44"/>
      <c r="F44"/>
      <c r="G44"/>
      <c r="H44"/>
      <c r="I44"/>
      <c r="J44"/>
      <c r="K44"/>
      <c r="R44"/>
      <c r="S44"/>
      <c r="T44"/>
    </row>
    <row r="45" spans="1:20" x14ac:dyDescent="0.25">
      <c r="A45"/>
      <c r="B45"/>
      <c r="C45"/>
      <c r="D45"/>
      <c r="E45"/>
      <c r="F45"/>
      <c r="G45"/>
      <c r="H45"/>
      <c r="I45"/>
      <c r="J45"/>
      <c r="K45"/>
      <c r="R45"/>
      <c r="S45"/>
      <c r="T45"/>
    </row>
    <row r="46" spans="1:20" x14ac:dyDescent="0.25">
      <c r="A46"/>
      <c r="B46"/>
      <c r="C46"/>
      <c r="D46"/>
      <c r="E46"/>
      <c r="F46"/>
      <c r="G46"/>
      <c r="H46"/>
      <c r="I46"/>
      <c r="J46"/>
      <c r="L46"/>
      <c r="M46"/>
      <c r="N46"/>
      <c r="O46"/>
      <c r="P46"/>
      <c r="Q46"/>
      <c r="R46"/>
      <c r="S46"/>
      <c r="T46"/>
    </row>
    <row r="47" spans="1:20" x14ac:dyDescent="0.25">
      <c r="A47"/>
      <c r="B47"/>
      <c r="C47"/>
      <c r="D47"/>
      <c r="E47"/>
      <c r="F47"/>
      <c r="G47"/>
      <c r="H47"/>
      <c r="I47"/>
      <c r="J47"/>
      <c r="L47"/>
      <c r="M47"/>
      <c r="N47"/>
      <c r="O47"/>
      <c r="P47"/>
      <c r="Q47"/>
      <c r="R47"/>
      <c r="S47"/>
      <c r="T47"/>
    </row>
    <row r="48" spans="1:20" x14ac:dyDescent="0.25">
      <c r="A48"/>
      <c r="B48"/>
      <c r="C48"/>
      <c r="D48"/>
      <c r="E48"/>
      <c r="F48"/>
      <c r="G48"/>
      <c r="H48"/>
      <c r="I48"/>
      <c r="J48"/>
      <c r="L48"/>
      <c r="M48"/>
      <c r="N48"/>
      <c r="O48"/>
      <c r="P48"/>
      <c r="Q48"/>
      <c r="R48"/>
      <c r="S48"/>
      <c r="T48"/>
    </row>
    <row r="49" spans="1:20" x14ac:dyDescent="0.25">
      <c r="A49"/>
      <c r="B49"/>
      <c r="C49"/>
      <c r="D49"/>
      <c r="E49"/>
      <c r="F49"/>
      <c r="G49"/>
      <c r="H49"/>
      <c r="I49"/>
      <c r="J49"/>
      <c r="L49"/>
      <c r="M49"/>
      <c r="N49"/>
      <c r="O49"/>
      <c r="P49"/>
      <c r="Q49"/>
      <c r="R49"/>
      <c r="S49"/>
      <c r="T49"/>
    </row>
    <row r="50" spans="1:20" x14ac:dyDescent="0.25">
      <c r="A50"/>
      <c r="B50"/>
      <c r="C50"/>
      <c r="D50"/>
      <c r="E50"/>
      <c r="F50"/>
      <c r="G50"/>
      <c r="H50"/>
      <c r="I50"/>
      <c r="J50"/>
      <c r="K50"/>
      <c r="R50"/>
      <c r="S50"/>
      <c r="T50"/>
    </row>
    <row r="51" spans="1:20" x14ac:dyDescent="0.25">
      <c r="A51"/>
      <c r="B51"/>
      <c r="C51"/>
      <c r="D51"/>
      <c r="E51"/>
      <c r="F51"/>
      <c r="G51"/>
      <c r="H51"/>
      <c r="I51"/>
      <c r="J51"/>
      <c r="K51"/>
      <c r="R51"/>
      <c r="S51"/>
      <c r="T51"/>
    </row>
    <row r="52" spans="1:20" x14ac:dyDescent="0.25">
      <c r="A52"/>
      <c r="B52"/>
      <c r="C52"/>
      <c r="D52"/>
      <c r="E52"/>
      <c r="F52"/>
      <c r="G52"/>
      <c r="H52"/>
      <c r="I52"/>
      <c r="J52"/>
      <c r="K52"/>
      <c r="R52"/>
      <c r="S52"/>
      <c r="T52"/>
    </row>
    <row r="53" spans="1:20" x14ac:dyDescent="0.25">
      <c r="A53"/>
      <c r="B53"/>
      <c r="C53"/>
      <c r="D53"/>
      <c r="E53"/>
      <c r="F53"/>
      <c r="G53"/>
      <c r="H53"/>
      <c r="I53"/>
      <c r="J53"/>
      <c r="K53"/>
      <c r="R53"/>
      <c r="S53"/>
      <c r="T53"/>
    </row>
    <row r="54" spans="1:20" x14ac:dyDescent="0.25">
      <c r="A54"/>
      <c r="B54"/>
      <c r="C54"/>
      <c r="D54"/>
      <c r="E54"/>
      <c r="F54"/>
      <c r="G54"/>
      <c r="H54"/>
      <c r="I54"/>
      <c r="J54"/>
      <c r="L54"/>
      <c r="M54"/>
      <c r="N54"/>
      <c r="O54"/>
      <c r="P54"/>
      <c r="Q54"/>
      <c r="R54"/>
      <c r="S54"/>
      <c r="T54"/>
    </row>
    <row r="55" spans="1:20" x14ac:dyDescent="0.25">
      <c r="A55"/>
      <c r="B55"/>
      <c r="C55"/>
      <c r="D55"/>
      <c r="E55"/>
      <c r="F55"/>
      <c r="G55"/>
      <c r="H55"/>
      <c r="I55"/>
      <c r="J55"/>
      <c r="L55"/>
      <c r="M55"/>
      <c r="N55"/>
      <c r="O55"/>
      <c r="P55"/>
      <c r="Q55"/>
      <c r="R55"/>
      <c r="S55"/>
      <c r="T55"/>
    </row>
    <row r="56" spans="1:20" x14ac:dyDescent="0.25">
      <c r="A56"/>
      <c r="B56"/>
      <c r="C56"/>
      <c r="D56"/>
      <c r="E56"/>
      <c r="F56"/>
      <c r="G56"/>
      <c r="H56"/>
      <c r="I56"/>
      <c r="J56"/>
      <c r="L56"/>
      <c r="M56"/>
      <c r="N56"/>
      <c r="O56"/>
      <c r="P56"/>
      <c r="Q56"/>
      <c r="R56"/>
      <c r="S56"/>
      <c r="T56"/>
    </row>
    <row r="57" spans="1:20" x14ac:dyDescent="0.25">
      <c r="A57"/>
      <c r="B57"/>
      <c r="C57"/>
      <c r="D57"/>
      <c r="E57"/>
      <c r="F57"/>
      <c r="G57"/>
      <c r="H57"/>
      <c r="I57"/>
      <c r="J57"/>
      <c r="L57"/>
      <c r="M57"/>
      <c r="N57"/>
      <c r="O57"/>
      <c r="P57"/>
      <c r="Q57"/>
      <c r="R57"/>
      <c r="S57"/>
      <c r="T57"/>
    </row>
    <row r="58" spans="1:20" x14ac:dyDescent="0.25">
      <c r="A58"/>
      <c r="B58"/>
      <c r="C58"/>
      <c r="D58"/>
      <c r="E58"/>
      <c r="F58"/>
      <c r="G58"/>
      <c r="H58"/>
      <c r="I58"/>
      <c r="J58"/>
      <c r="K58"/>
      <c r="R58"/>
      <c r="S58"/>
      <c r="T58"/>
    </row>
    <row r="59" spans="1:20" x14ac:dyDescent="0.25">
      <c r="A59"/>
      <c r="B59"/>
      <c r="C59"/>
      <c r="D59"/>
      <c r="E59"/>
      <c r="F59"/>
      <c r="G59"/>
      <c r="H59"/>
      <c r="I59"/>
      <c r="J59"/>
      <c r="K59"/>
      <c r="R59"/>
      <c r="S59"/>
      <c r="T59"/>
    </row>
    <row r="60" spans="1:20" x14ac:dyDescent="0.25">
      <c r="A60"/>
      <c r="B60"/>
      <c r="C60"/>
      <c r="D60"/>
      <c r="E60"/>
      <c r="F60"/>
      <c r="G60"/>
      <c r="H60"/>
      <c r="I60"/>
      <c r="J60"/>
      <c r="K60"/>
      <c r="R60"/>
      <c r="S60"/>
      <c r="T60"/>
    </row>
    <row r="61" spans="1:20" x14ac:dyDescent="0.25">
      <c r="A61"/>
      <c r="B61"/>
      <c r="C61"/>
      <c r="D61"/>
      <c r="E61"/>
      <c r="F61"/>
      <c r="G61"/>
      <c r="H61"/>
      <c r="I61"/>
      <c r="J61"/>
      <c r="K61"/>
      <c r="R61"/>
      <c r="S61"/>
      <c r="T61"/>
    </row>
    <row r="62" spans="1:20" x14ac:dyDescent="0.25">
      <c r="A62"/>
      <c r="B62"/>
      <c r="C62"/>
      <c r="D62"/>
      <c r="E62"/>
      <c r="F62"/>
      <c r="G62"/>
      <c r="H62"/>
      <c r="I62"/>
      <c r="J62"/>
      <c r="L62"/>
      <c r="M62"/>
      <c r="N62"/>
      <c r="O62"/>
      <c r="P62"/>
      <c r="Q62"/>
      <c r="R62"/>
      <c r="S62"/>
      <c r="T62"/>
    </row>
    <row r="63" spans="1:20" x14ac:dyDescent="0.25">
      <c r="A63"/>
      <c r="B63"/>
      <c r="C63"/>
      <c r="D63"/>
      <c r="E63"/>
      <c r="F63"/>
      <c r="G63"/>
      <c r="H63"/>
      <c r="I63"/>
      <c r="J63"/>
      <c r="L63"/>
      <c r="M63"/>
      <c r="N63"/>
      <c r="O63"/>
      <c r="P63"/>
      <c r="Q63"/>
      <c r="R63"/>
      <c r="S63"/>
      <c r="T63"/>
    </row>
    <row r="64" spans="1:20" x14ac:dyDescent="0.25">
      <c r="A64"/>
      <c r="B64"/>
      <c r="C64"/>
      <c r="D64"/>
      <c r="E64"/>
      <c r="F64"/>
      <c r="G64"/>
      <c r="H64"/>
      <c r="I64"/>
      <c r="J64"/>
      <c r="L64"/>
      <c r="M64"/>
      <c r="N64"/>
      <c r="O64"/>
      <c r="P64"/>
      <c r="Q64"/>
      <c r="R64"/>
      <c r="S64"/>
      <c r="T64"/>
    </row>
    <row r="65" spans="1:20" x14ac:dyDescent="0.25">
      <c r="A65"/>
      <c r="B65"/>
      <c r="C65"/>
      <c r="D65"/>
      <c r="E65"/>
      <c r="F65"/>
      <c r="G65"/>
      <c r="H65"/>
      <c r="I65"/>
      <c r="J65"/>
      <c r="L65"/>
      <c r="M65"/>
      <c r="N65"/>
      <c r="O65"/>
      <c r="P65"/>
      <c r="Q65"/>
      <c r="R65"/>
      <c r="S65"/>
      <c r="T65"/>
    </row>
    <row r="66" spans="1:20" x14ac:dyDescent="0.25">
      <c r="A66"/>
      <c r="B66"/>
      <c r="C66"/>
      <c r="D66"/>
      <c r="E66"/>
      <c r="F66"/>
      <c r="G66"/>
      <c r="H66"/>
      <c r="I66"/>
      <c r="J66"/>
      <c r="K66"/>
      <c r="R66"/>
      <c r="S66"/>
      <c r="T66"/>
    </row>
    <row r="67" spans="1:20" x14ac:dyDescent="0.25">
      <c r="A67"/>
      <c r="B67"/>
      <c r="C67"/>
      <c r="D67"/>
      <c r="E67"/>
      <c r="F67"/>
      <c r="G67"/>
      <c r="H67"/>
      <c r="I67"/>
      <c r="J67"/>
      <c r="K67"/>
      <c r="R67"/>
      <c r="S67"/>
      <c r="T67"/>
    </row>
    <row r="68" spans="1:20" x14ac:dyDescent="0.25">
      <c r="A68"/>
      <c r="B68"/>
      <c r="C68"/>
      <c r="D68"/>
      <c r="E68"/>
      <c r="F68"/>
      <c r="G68"/>
      <c r="H68"/>
      <c r="I68"/>
      <c r="J68"/>
      <c r="K68"/>
      <c r="R68"/>
      <c r="S68"/>
      <c r="T68"/>
    </row>
    <row r="69" spans="1:20" x14ac:dyDescent="0.25">
      <c r="A69"/>
      <c r="B69"/>
      <c r="C69"/>
      <c r="D69"/>
      <c r="E69"/>
      <c r="F69"/>
      <c r="G69"/>
      <c r="H69"/>
      <c r="I69"/>
      <c r="J69"/>
      <c r="K69"/>
      <c r="R69"/>
      <c r="S69"/>
      <c r="T69"/>
    </row>
    <row r="70" spans="1:20" x14ac:dyDescent="0.25">
      <c r="A70"/>
      <c r="B70"/>
      <c r="C70"/>
      <c r="D70"/>
      <c r="E70"/>
      <c r="F70"/>
      <c r="G70"/>
      <c r="H70"/>
      <c r="I70"/>
      <c r="J70"/>
      <c r="L70"/>
      <c r="M70"/>
      <c r="N70"/>
      <c r="O70"/>
      <c r="P70"/>
      <c r="Q70"/>
      <c r="R70"/>
      <c r="S70"/>
      <c r="T70"/>
    </row>
    <row r="71" spans="1:20" x14ac:dyDescent="0.25">
      <c r="A71"/>
      <c r="B71"/>
      <c r="C71"/>
      <c r="D71"/>
      <c r="E71"/>
      <c r="F71"/>
      <c r="G71"/>
      <c r="H71"/>
      <c r="I71"/>
      <c r="J71"/>
      <c r="L71"/>
      <c r="M71"/>
      <c r="N71"/>
      <c r="O71"/>
      <c r="P71"/>
      <c r="Q71"/>
      <c r="R71"/>
      <c r="S71"/>
      <c r="T71"/>
    </row>
    <row r="72" spans="1:20" x14ac:dyDescent="0.25">
      <c r="A72"/>
      <c r="B72"/>
      <c r="C72"/>
      <c r="D72"/>
      <c r="E72"/>
      <c r="F72"/>
      <c r="G72"/>
      <c r="H72"/>
      <c r="I72"/>
      <c r="J72"/>
      <c r="L72"/>
      <c r="M72"/>
      <c r="N72"/>
      <c r="O72"/>
      <c r="P72"/>
      <c r="Q72"/>
      <c r="R72"/>
      <c r="S72"/>
      <c r="T72"/>
    </row>
    <row r="73" spans="1:20" x14ac:dyDescent="0.25">
      <c r="A73"/>
      <c r="B73"/>
      <c r="C73"/>
      <c r="D73"/>
      <c r="E73"/>
      <c r="F73"/>
      <c r="G73"/>
      <c r="H73"/>
      <c r="I73"/>
      <c r="J73"/>
      <c r="L73"/>
      <c r="M73"/>
      <c r="N73"/>
      <c r="O73"/>
      <c r="P73"/>
      <c r="Q73"/>
      <c r="R73"/>
      <c r="S73"/>
      <c r="T7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603-31DD-4839-A5EA-76F11F0AB097}">
  <dimension ref="A1:U13"/>
  <sheetViews>
    <sheetView zoomScale="140" zoomScaleNormal="140" workbookViewId="0">
      <selection activeCell="A2" sqref="A2"/>
    </sheetView>
  </sheetViews>
  <sheetFormatPr defaultRowHeight="15" x14ac:dyDescent="0.25"/>
  <cols>
    <col min="1" max="1" width="24.140625" bestFit="1" customWidth="1"/>
    <col min="2" max="2" width="18.85546875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0" width="12.85546875" bestFit="1" customWidth="1"/>
    <col min="11" max="11" width="13.28515625" bestFit="1" customWidth="1"/>
    <col min="12" max="12" width="11" bestFit="1" customWidth="1"/>
    <col min="13" max="13" width="13.28515625" bestFit="1" customWidth="1"/>
    <col min="14" max="14" width="7.7109375" bestFit="1" customWidth="1"/>
    <col min="15" max="15" width="6.85546875" bestFit="1" customWidth="1"/>
    <col min="16" max="16" width="7.7109375" bestFit="1" customWidth="1"/>
    <col min="17" max="17" width="7.42578125" bestFit="1" customWidth="1"/>
    <col min="18" max="19" width="10" bestFit="1" customWidth="1"/>
    <col min="20" max="20" width="13.7109375" bestFit="1" customWidth="1"/>
  </cols>
  <sheetData>
    <row r="1" spans="1:21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  <c r="U1" t="s">
        <v>0</v>
      </c>
    </row>
    <row r="2" spans="1:21" x14ac:dyDescent="0.25">
      <c r="A2" t="str" cm="1">
        <f t="array" ref="A2">INDEX(ipopt_output!A:A, (ROW()-2)*$U2+2)</f>
        <v>cart_pole_swing_col3_py</v>
      </c>
      <c r="B2" t="str" cm="1">
        <f t="array" ref="B2">INDEX(ipopt_output!B:B, (ROW()-2)*$U2+2)</f>
        <v>Optimal Solution Found.</v>
      </c>
      <c r="C2">
        <f>IFERROR(AVERAGE(INDEX(ipopt_output!C:C, (ROW()-2)*$U2+2):INDEX(ipopt_output!C:C, (ROW()-2)*$U2 + $U2+1)), "")</f>
        <v>900</v>
      </c>
      <c r="D2">
        <f>IFERROR(AVERAGE(INDEX(ipopt_output!D:D, (ROW()-2)*$U2+2):INDEX(ipopt_output!D:D, (ROW()-2)*$U2 + $U2+1)), "")</f>
        <v>853</v>
      </c>
      <c r="E2">
        <f>IFERROR(AVERAGE(INDEX(ipopt_output!E:E, (ROW()-2)*$U2+2):INDEX(ipopt_output!E:E, (ROW()-2)*$U2 + $U2+1)), "")</f>
        <v>50</v>
      </c>
      <c r="F2">
        <f>IFERROR(AVERAGE(INDEX(ipopt_output!F:F, (ROW()-2)*$U2+2):INDEX(ipopt_output!F:F, (ROW()-2)*$U2 + $U2+1)), "")</f>
        <v>371</v>
      </c>
      <c r="G2">
        <f>IFERROR(AVERAGE(INDEX(ipopt_output!G:G, (ROW()-2)*$U2+2):INDEX(ipopt_output!G:G, (ROW()-2)*$U2 + $U2+1)), "")</f>
        <v>1583.338999162766</v>
      </c>
      <c r="H2">
        <f>IFERROR(AVERAGE(INDEX(ipopt_output!H:H, (ROW()-2)*$U2+2):INDEX(ipopt_output!H:H, (ROW()-2)*$U2 + $U2+1)), "")</f>
        <v>1.6081358467090467E-10</v>
      </c>
      <c r="I2">
        <f>IFERROR(AVERAGE(INDEX(ipopt_output!I:I, (ROW()-2)*$U2+2):INDEX(ipopt_output!I:I, (ROW()-2)*$U2 + $U2+1)), "")</f>
        <v>1.014</v>
      </c>
      <c r="J2">
        <f>IFERROR(AVERAGE(INDEX(ipopt_output!J:J, (ROW()-2)*$U2+2):INDEX(ipopt_output!J:J, (ROW()-2)*$U2 + $U2+1)), "")</f>
        <v>0.14125000000000001</v>
      </c>
      <c r="K2">
        <f>IFERROR(AVERAGE(INDEX(ipopt_output!K:K, (ROW()-2)*$U2+2):INDEX(ipopt_output!K:K, (ROW()-2)*$U2 + $U2+1)), "")</f>
        <v>1.9838443442504285</v>
      </c>
      <c r="L2" t="str">
        <f>IFERROR(AVERAGE(INDEX(ipopt_output!L:L, (ROW()-2)*$U2+2):INDEX(ipopt_output!L:L, (ROW()-2)*$U2 + $U2+1)), "")</f>
        <v/>
      </c>
      <c r="M2" t="str">
        <f>IFERROR(AVERAGE(INDEX(ipopt_output!M:M, (ROW()-2)*$U2+2):INDEX(ipopt_output!M:M, (ROW()-2)*$U2 + $U2+1)), "")</f>
        <v/>
      </c>
      <c r="N2" t="str">
        <f>IFERROR(AVERAGE(INDEX(ipopt_output!N:N, (ROW()-2)*$U2+2):INDEX(ipopt_output!N:N, (ROW()-2)*$U2 + $U2+1)), "")</f>
        <v/>
      </c>
      <c r="O2" t="str">
        <f>IFERROR(AVERAGE(INDEX(ipopt_output!O:O, (ROW()-2)*$U2+2):INDEX(ipopt_output!O:O, (ROW()-2)*$U2 + $U2+1)), "")</f>
        <v/>
      </c>
      <c r="P2" t="str">
        <f>IFERROR(AVERAGE(INDEX(ipopt_output!P:P, (ROW()-2)*$U2+2):INDEX(ipopt_output!P:P, (ROW()-2)*$U2 + $U2+1)), "")</f>
        <v/>
      </c>
      <c r="Q2" t="str">
        <f>IFERROR(AVERAGE(INDEX(ipopt_output!Q:Q, (ROW()-2)*$U2+2):INDEX(ipopt_output!Q:Q, (ROW()-2)*$U2 + $U2+1)), "")</f>
        <v/>
      </c>
      <c r="R2">
        <f>IFERROR(AVERAGE(INDEX(ipopt_output!R:R, (ROW()-2)*$U2+2):INDEX(ipopt_output!R:R, (ROW()-2)*$U2 + $U2+1)), "")</f>
        <v>1.9838425000000002</v>
      </c>
      <c r="S2">
        <f>IFERROR(AVERAGE(INDEX(ipopt_output!S:S, (ROW()-2)*$U2+2):INDEX(ipopt_output!S:S, (ROW()-2)*$U2 + $U2+1)), "")</f>
        <v>20260407</v>
      </c>
      <c r="T2">
        <f>IFERROR(AVERAGE(INDEX(ipopt_output!T:T, (ROW()-2)*$U2+2):INDEX(ipopt_output!T:T, (ROW()-2)*$U2 + $U2+1)), "")</f>
        <v>169857.75</v>
      </c>
      <c r="U2">
        <f>COUNTIF(ipopt_output!A:A, ipopt_output!A2)</f>
        <v>4</v>
      </c>
    </row>
    <row r="3" spans="1:21" x14ac:dyDescent="0.25">
      <c r="A3" t="str" cm="1">
        <f t="array" ref="A3">INDEX(ipopt_output!A:A, (ROW()-2)*$U3+2)</f>
        <v>cart_pole_swing_col3_run</v>
      </c>
      <c r="B3" t="str" cm="1">
        <f t="array" ref="B3">INDEX(ipopt_output!B:B, (ROW()-2)*$U3+2)</f>
        <v>Optimal Solution Found.</v>
      </c>
      <c r="C3">
        <f>IFERROR(AVERAGE(INDEX(ipopt_output!C:C, (ROW()-2)*$U3+2):INDEX(ipopt_output!C:C, (ROW()-2)*$U3 + $U3+1)), "")</f>
        <v>1197</v>
      </c>
      <c r="D3">
        <f>IFERROR(AVERAGE(INDEX(ipopt_output!D:D, (ROW()-2)*$U3+2):INDEX(ipopt_output!D:D, (ROW()-2)*$U3 + $U3+1)), "")</f>
        <v>1150</v>
      </c>
      <c r="E3">
        <f>IFERROR(AVERAGE(INDEX(ipopt_output!E:E, (ROW()-2)*$U3+2):INDEX(ipopt_output!E:E, (ROW()-2)*$U3 + $U3+1)), "")</f>
        <v>50</v>
      </c>
      <c r="F3">
        <f>IFERROR(AVERAGE(INDEX(ipopt_output!F:F, (ROW()-2)*$U3+2):INDEX(ipopt_output!F:F, (ROW()-2)*$U3 + $U3+1)), "")</f>
        <v>409</v>
      </c>
      <c r="G3">
        <f>IFERROR(AVERAGE(INDEX(ipopt_output!G:G, (ROW()-2)*$U3+2):INDEX(ipopt_output!G:G, (ROW()-2)*$U3 + $U3+1)), "")</f>
        <v>1921.3975853618256</v>
      </c>
      <c r="H3">
        <f>IFERROR(AVERAGE(INDEX(ipopt_output!H:H, (ROW()-2)*$U3+2):INDEX(ipopt_output!H:H, (ROW()-2)*$U3 + $U3+1)), "")</f>
        <v>2.1722890153341723E-10</v>
      </c>
      <c r="I3">
        <f>IFERROR(AVERAGE(INDEX(ipopt_output!I:I, (ROW()-2)*$U3+2):INDEX(ipopt_output!I:I, (ROW()-2)*$U3 + $U3+1)), "")</f>
        <v>3.2854999999999999</v>
      </c>
      <c r="J3">
        <f>IFERROR(AVERAGE(INDEX(ipopt_output!J:J, (ROW()-2)*$U3+2):INDEX(ipopt_output!J:J, (ROW()-2)*$U3 + $U3+1)), "")</f>
        <v>0.72899999999999998</v>
      </c>
      <c r="K3" t="str">
        <f>IFERROR(AVERAGE(INDEX(ipopt_output!K:K, (ROW()-2)*$U3+2):INDEX(ipopt_output!K:K, (ROW()-2)*$U3 + $U3+1)), "")</f>
        <v/>
      </c>
      <c r="L3">
        <f>IFERROR(AVERAGE(INDEX(ipopt_output!L:L, (ROW()-2)*$U3+2):INDEX(ipopt_output!L:L, (ROW()-2)*$U3 + $U3+1)), "")</f>
        <v>5.4706249999999845E-2</v>
      </c>
      <c r="M3">
        <f>IFERROR(AVERAGE(INDEX(ipopt_output!M:M, (ROW()-2)*$U3+2):INDEX(ipopt_output!M:M, (ROW()-2)*$U3 + $U3+1)), "")</f>
        <v>4.0659635000000005</v>
      </c>
      <c r="N3">
        <f>IFERROR(AVERAGE(INDEX(ipopt_output!N:N, (ROW()-2)*$U3+2):INDEX(ipopt_output!N:N, (ROW()-2)*$U3 + $U3+1)), "")</f>
        <v>19139</v>
      </c>
      <c r="O3">
        <f>IFERROR(AVERAGE(INDEX(ipopt_output!O:O, (ROW()-2)*$U3+2):INDEX(ipopt_output!O:O, (ROW()-2)*$U3 + $U3+1)), "")</f>
        <v>1197</v>
      </c>
      <c r="P3">
        <f>IFERROR(AVERAGE(INDEX(ipopt_output!P:P, (ROW()-2)*$U3+2):INDEX(ipopt_output!P:P, (ROW()-2)*$U3 + $U3+1)), "")</f>
        <v>19447</v>
      </c>
      <c r="Q3">
        <f>IFERROR(AVERAGE(INDEX(ipopt_output!Q:Q, (ROW()-2)*$U3+2):INDEX(ipopt_output!Q:Q, (ROW()-2)*$U3 + $U3+1)), "")</f>
        <v>1200</v>
      </c>
      <c r="R3">
        <f>IFERROR(AVERAGE(INDEX(ipopt_output!R:R, (ROW()-2)*$U3+2):INDEX(ipopt_output!R:R, (ROW()-2)*$U3 + $U3+1)), "")</f>
        <v>4.1206700000000005</v>
      </c>
      <c r="S3">
        <f>IFERROR(AVERAGE(INDEX(ipopt_output!S:S, (ROW()-2)*$U3+2):INDEX(ipopt_output!S:S, (ROW()-2)*$U3 + $U3+1)), "")</f>
        <v>20260407</v>
      </c>
      <c r="T3">
        <f>IFERROR(AVERAGE(INDEX(ipopt_output!T:T, (ROW()-2)*$U3+2):INDEX(ipopt_output!T:T, (ROW()-2)*$U3 + $U3+1)), "")</f>
        <v>161448.75</v>
      </c>
      <c r="U3" cm="1">
        <f t="array" ref="U3">COUNTIF(ipopt_output!A:A,INDEX(ipopt_output!A:A,SUM(U$2:U2)+2))</f>
        <v>4</v>
      </c>
    </row>
    <row r="4" spans="1:21" x14ac:dyDescent="0.25">
      <c r="A4" t="str" cm="1">
        <f t="array" ref="A4">INDEX(ipopt_output!A:A, (ROW()-2)*$U4+2)</f>
        <v>cart_pole_swing_rk1_py</v>
      </c>
      <c r="B4" t="str" cm="1">
        <f t="array" ref="B4">INDEX(ipopt_output!B:B, (ROW()-2)*$U4+2)</f>
        <v>Optimal Solution Found.</v>
      </c>
      <c r="C4">
        <f>IFERROR(AVERAGE(INDEX(ipopt_output!C:C, (ROW()-2)*$U4+2):INDEX(ipopt_output!C:C, (ROW()-2)*$U4 + $U4+1)), "")</f>
        <v>300</v>
      </c>
      <c r="D4">
        <f>IFERROR(AVERAGE(INDEX(ipopt_output!D:D, (ROW()-2)*$U4+2):INDEX(ipopt_output!D:D, (ROW()-2)*$U4 + $U4+1)), "")</f>
        <v>253</v>
      </c>
      <c r="E4">
        <f>IFERROR(AVERAGE(INDEX(ipopt_output!E:E, (ROW()-2)*$U4+2):INDEX(ipopt_output!E:E, (ROW()-2)*$U4 + $U4+1)), "")</f>
        <v>50</v>
      </c>
      <c r="F4">
        <f>IFERROR(AVERAGE(INDEX(ipopt_output!F:F, (ROW()-2)*$U4+2):INDEX(ipopt_output!F:F, (ROW()-2)*$U4 + $U4+1)), "")</f>
        <v>371</v>
      </c>
      <c r="G4">
        <f>IFERROR(AVERAGE(INDEX(ipopt_output!G:G, (ROW()-2)*$U4+2):INDEX(ipopt_output!G:G, (ROW()-2)*$U4 + $U4+1)), "")</f>
        <v>1583.3389991627485</v>
      </c>
      <c r="H4">
        <f>IFERROR(AVERAGE(INDEX(ipopt_output!H:H, (ROW()-2)*$U4+2):INDEX(ipopt_output!H:H, (ROW()-2)*$U4 + $U4+1)), "")</f>
        <v>1.6081536102774407E-10</v>
      </c>
      <c r="I4">
        <f>IFERROR(AVERAGE(INDEX(ipopt_output!I:I, (ROW()-2)*$U4+2):INDEX(ipopt_output!I:I, (ROW()-2)*$U4 + $U4+1)), "")</f>
        <v>0.56499999999999995</v>
      </c>
      <c r="J4">
        <f>IFERROR(AVERAGE(INDEX(ipopt_output!J:J, (ROW()-2)*$U4+2):INDEX(ipopt_output!J:J, (ROW()-2)*$U4 + $U4+1)), "")</f>
        <v>8.6999999999999994E-2</v>
      </c>
      <c r="K4">
        <f>IFERROR(AVERAGE(INDEX(ipopt_output!K:K, (ROW()-2)*$U4+2):INDEX(ipopt_output!K:K, (ROW()-2)*$U4 + $U4+1)), "")</f>
        <v>1.1868054759997904</v>
      </c>
      <c r="L4" t="str">
        <f>IFERROR(AVERAGE(INDEX(ipopt_output!L:L, (ROW()-2)*$U4+2):INDEX(ipopt_output!L:L, (ROW()-2)*$U4 + $U4+1)), "")</f>
        <v/>
      </c>
      <c r="M4" t="str">
        <f>IFERROR(AVERAGE(INDEX(ipopt_output!M:M, (ROW()-2)*$U4+2):INDEX(ipopt_output!M:M, (ROW()-2)*$U4 + $U4+1)), "")</f>
        <v/>
      </c>
      <c r="N4" t="str">
        <f>IFERROR(AVERAGE(INDEX(ipopt_output!N:N, (ROW()-2)*$U4+2):INDEX(ipopt_output!N:N, (ROW()-2)*$U4 + $U4+1)), "")</f>
        <v/>
      </c>
      <c r="O4" t="str">
        <f>IFERROR(AVERAGE(INDEX(ipopt_output!O:O, (ROW()-2)*$U4+2):INDEX(ipopt_output!O:O, (ROW()-2)*$U4 + $U4+1)), "")</f>
        <v/>
      </c>
      <c r="P4" t="str">
        <f>IFERROR(AVERAGE(INDEX(ipopt_output!P:P, (ROW()-2)*$U4+2):INDEX(ipopt_output!P:P, (ROW()-2)*$U4 + $U4+1)), "")</f>
        <v/>
      </c>
      <c r="Q4" t="str">
        <f>IFERROR(AVERAGE(INDEX(ipopt_output!Q:Q, (ROW()-2)*$U4+2):INDEX(ipopt_output!Q:Q, (ROW()-2)*$U4 + $U4+1)), "")</f>
        <v/>
      </c>
      <c r="R4">
        <f>IFERROR(AVERAGE(INDEX(ipopt_output!R:R, (ROW()-2)*$U4+2):INDEX(ipopt_output!R:R, (ROW()-2)*$U4 + $U4+1)), "")</f>
        <v>1.1868050000000001</v>
      </c>
      <c r="S4">
        <f>IFERROR(AVERAGE(INDEX(ipopt_output!S:S, (ROW()-2)*$U4+2):INDEX(ipopt_output!S:S, (ROW()-2)*$U4 + $U4+1)), "")</f>
        <v>20260407</v>
      </c>
      <c r="T4">
        <f>IFERROR(AVERAGE(INDEX(ipopt_output!T:T, (ROW()-2)*$U4+2):INDEX(ipopt_output!T:T, (ROW()-2)*$U4 + $U4+1)), "")</f>
        <v>169857.75</v>
      </c>
      <c r="U4" cm="1">
        <f t="array" ref="U4">COUNTIF(ipopt_output!A:A,INDEX(ipopt_output!A:A,SUM(U$2:U3)+2))</f>
        <v>4</v>
      </c>
    </row>
    <row r="5" spans="1:21" x14ac:dyDescent="0.25">
      <c r="A5" t="str" cm="1">
        <f t="array" ref="A5">INDEX(ipopt_output!A:A, (ROW()-2)*$U5+2)</f>
        <v>cart_pole_swing_rk1_run</v>
      </c>
      <c r="B5" t="str" cm="1">
        <f t="array" ref="B5">INDEX(ipopt_output!B:B, (ROW()-2)*$U5+2)</f>
        <v>Optimal Solution Found.</v>
      </c>
      <c r="C5">
        <f>IFERROR(AVERAGE(INDEX(ipopt_output!C:C, (ROW()-2)*$U5+2):INDEX(ipopt_output!C:C, (ROW()-2)*$U5 + $U5+1)), "")</f>
        <v>295</v>
      </c>
      <c r="D5">
        <f>IFERROR(AVERAGE(INDEX(ipopt_output!D:D, (ROW()-2)*$U5+2):INDEX(ipopt_output!D:D, (ROW()-2)*$U5 + $U5+1)), "")</f>
        <v>248</v>
      </c>
      <c r="E5">
        <f>IFERROR(AVERAGE(INDEX(ipopt_output!E:E, (ROW()-2)*$U5+2):INDEX(ipopt_output!E:E, (ROW()-2)*$U5 + $U5+1)), "")</f>
        <v>50</v>
      </c>
      <c r="F5">
        <f>IFERROR(AVERAGE(INDEX(ipopt_output!F:F, (ROW()-2)*$U5+2):INDEX(ipopt_output!F:F, (ROW()-2)*$U5 + $U5+1)), "")</f>
        <v>371</v>
      </c>
      <c r="G5">
        <f>IFERROR(AVERAGE(INDEX(ipopt_output!G:G, (ROW()-2)*$U5+2):INDEX(ipopt_output!G:G, (ROW()-2)*$U5 + $U5+1)), "")</f>
        <v>1583.3389991627482</v>
      </c>
      <c r="H5">
        <f>IFERROR(AVERAGE(INDEX(ipopt_output!H:H, (ROW()-2)*$U5+2):INDEX(ipopt_output!H:H, (ROW()-2)*$U5 + $U5+1)), "")</f>
        <v>1.6081003195722587E-10</v>
      </c>
      <c r="I5">
        <f>IFERROR(AVERAGE(INDEX(ipopt_output!I:I, (ROW()-2)*$U5+2):INDEX(ipopt_output!I:I, (ROW()-2)*$U5 + $U5+1)), "")</f>
        <v>1.2802499999999999</v>
      </c>
      <c r="J5">
        <f>IFERROR(AVERAGE(INDEX(ipopt_output!J:J, (ROW()-2)*$U5+2):INDEX(ipopt_output!J:J, (ROW()-2)*$U5 + $U5+1)), "")</f>
        <v>0.5704999999999999</v>
      </c>
      <c r="K5" t="str">
        <f>IFERROR(AVERAGE(INDEX(ipopt_output!K:K, (ROW()-2)*$U5+2):INDEX(ipopt_output!K:K, (ROW()-2)*$U5 + $U5+1)), "")</f>
        <v/>
      </c>
      <c r="L5">
        <f>IFERROR(AVERAGE(INDEX(ipopt_output!L:L, (ROW()-2)*$U5+2):INDEX(ipopt_output!L:L, (ROW()-2)*$U5 + $U5+1)), "")</f>
        <v>5.1354749999999949E-2</v>
      </c>
      <c r="M5">
        <f>IFERROR(AVERAGE(INDEX(ipopt_output!M:M, (ROW()-2)*$U5+2):INDEX(ipopt_output!M:M, (ROW()-2)*$U5 + $U5+1)), "")</f>
        <v>2.0128267500000003</v>
      </c>
      <c r="N5">
        <f>IFERROR(AVERAGE(INDEX(ipopt_output!N:N, (ROW()-2)*$U5+2):INDEX(ipopt_output!N:N, (ROW()-2)*$U5 + $U5+1)), "")</f>
        <v>16889</v>
      </c>
      <c r="O5">
        <f>IFERROR(AVERAGE(INDEX(ipopt_output!O:O, (ROW()-2)*$U5+2):INDEX(ipopt_output!O:O, (ROW()-2)*$U5 + $U5+1)), "")</f>
        <v>295</v>
      </c>
      <c r="P5">
        <f>IFERROR(AVERAGE(INDEX(ipopt_output!P:P, (ROW()-2)*$U5+2):INDEX(ipopt_output!P:P, (ROW()-2)*$U5 + $U5+1)), "")</f>
        <v>17197</v>
      </c>
      <c r="Q5">
        <f>IFERROR(AVERAGE(INDEX(ipopt_output!Q:Q, (ROW()-2)*$U5+2):INDEX(ipopt_output!Q:Q, (ROW()-2)*$U5 + $U5+1)), "")</f>
        <v>298</v>
      </c>
      <c r="R5">
        <f>IFERROR(AVERAGE(INDEX(ipopt_output!R:R, (ROW()-2)*$U5+2):INDEX(ipopt_output!R:R, (ROW()-2)*$U5 + $U5+1)), "")</f>
        <v>2.0641799999999999</v>
      </c>
      <c r="S5">
        <f>IFERROR(AVERAGE(INDEX(ipopt_output!S:S, (ROW()-2)*$U5+2):INDEX(ipopt_output!S:S, (ROW()-2)*$U5 + $U5+1)), "")</f>
        <v>20260407</v>
      </c>
      <c r="T5">
        <f>IFERROR(AVERAGE(INDEX(ipopt_output!T:T, (ROW()-2)*$U5+2):INDEX(ipopt_output!T:T, (ROW()-2)*$U5 + $U5+1)), "")</f>
        <v>161448.75</v>
      </c>
      <c r="U5" cm="1">
        <f t="array" ref="U5">COUNTIF(ipopt_output!A:A,INDEX(ipopt_output!A:A,SUM(U$2:U4)+2))</f>
        <v>4</v>
      </c>
    </row>
    <row r="6" spans="1:21" x14ac:dyDescent="0.25">
      <c r="A6" t="str" cm="1">
        <f t="array" ref="A6">INDEX(ipopt_output!A:A, (ROW()-2)*$U6+2)</f>
        <v>cart_pole_swing_rk4_py</v>
      </c>
      <c r="B6" t="str" cm="1">
        <f t="array" ref="B6">INDEX(ipopt_output!B:B, (ROW()-2)*$U6+2)</f>
        <v>Optimal Solution Found.</v>
      </c>
      <c r="C6">
        <f>IFERROR(AVERAGE(INDEX(ipopt_output!C:C, (ROW()-2)*$U6+2):INDEX(ipopt_output!C:C, (ROW()-2)*$U6 + $U6+1)), "")</f>
        <v>300</v>
      </c>
      <c r="D6">
        <f>IFERROR(AVERAGE(INDEX(ipopt_output!D:D, (ROW()-2)*$U6+2):INDEX(ipopt_output!D:D, (ROW()-2)*$U6 + $U6+1)), "")</f>
        <v>253</v>
      </c>
      <c r="E6">
        <f>IFERROR(AVERAGE(INDEX(ipopt_output!E:E, (ROW()-2)*$U6+2):INDEX(ipopt_output!E:E, (ROW()-2)*$U6 + $U6+1)), "")</f>
        <v>50</v>
      </c>
      <c r="F6">
        <f>IFERROR(AVERAGE(INDEX(ipopt_output!F:F, (ROW()-2)*$U6+2):INDEX(ipopt_output!F:F, (ROW()-2)*$U6 + $U6+1)), "")</f>
        <v>411</v>
      </c>
      <c r="G6">
        <f>IFERROR(AVERAGE(INDEX(ipopt_output!G:G, (ROW()-2)*$U6+2):INDEX(ipopt_output!G:G, (ROW()-2)*$U6 + $U6+1)), "")</f>
        <v>1921.397585361809</v>
      </c>
      <c r="H6">
        <f>IFERROR(AVERAGE(INDEX(ipopt_output!H:H, (ROW()-2)*$U6+2):INDEX(ipopt_output!H:H, (ROW()-2)*$U6 + $U6+1)), "")</f>
        <v>2.1748114420461206E-10</v>
      </c>
      <c r="I6">
        <f>IFERROR(AVERAGE(INDEX(ipopt_output!I:I, (ROW()-2)*$U6+2):INDEX(ipopt_output!I:I, (ROW()-2)*$U6 + $U6+1)), "")</f>
        <v>0.60450000000000004</v>
      </c>
      <c r="J6">
        <f>IFERROR(AVERAGE(INDEX(ipopt_output!J:J, (ROW()-2)*$U6+2):INDEX(ipopt_output!J:J, (ROW()-2)*$U6 + $U6+1)), "")</f>
        <v>0.10300000000000001</v>
      </c>
      <c r="K6">
        <f>IFERROR(AVERAGE(INDEX(ipopt_output!K:K, (ROW()-2)*$U6+2):INDEX(ipopt_output!K:K, (ROW()-2)*$U6 + $U6+1)), "")</f>
        <v>1.2900224957497812</v>
      </c>
      <c r="L6" t="str">
        <f>IFERROR(AVERAGE(INDEX(ipopt_output!L:L, (ROW()-2)*$U6+2):INDEX(ipopt_output!L:L, (ROW()-2)*$U6 + $U6+1)), "")</f>
        <v/>
      </c>
      <c r="M6" t="str">
        <f>IFERROR(AVERAGE(INDEX(ipopt_output!M:M, (ROW()-2)*$U6+2):INDEX(ipopt_output!M:M, (ROW()-2)*$U6 + $U6+1)), "")</f>
        <v/>
      </c>
      <c r="N6" t="str">
        <f>IFERROR(AVERAGE(INDEX(ipopt_output!N:N, (ROW()-2)*$U6+2):INDEX(ipopt_output!N:N, (ROW()-2)*$U6 + $U6+1)), "")</f>
        <v/>
      </c>
      <c r="O6" t="str">
        <f>IFERROR(AVERAGE(INDEX(ipopt_output!O:O, (ROW()-2)*$U6+2):INDEX(ipopt_output!O:O, (ROW()-2)*$U6 + $U6+1)), "")</f>
        <v/>
      </c>
      <c r="P6" t="str">
        <f>IFERROR(AVERAGE(INDEX(ipopt_output!P:P, (ROW()-2)*$U6+2):INDEX(ipopt_output!P:P, (ROW()-2)*$U6 + $U6+1)), "")</f>
        <v/>
      </c>
      <c r="Q6" t="str">
        <f>IFERROR(AVERAGE(INDEX(ipopt_output!Q:Q, (ROW()-2)*$U6+2):INDEX(ipopt_output!Q:Q, (ROW()-2)*$U6 + $U6+1)), "")</f>
        <v/>
      </c>
      <c r="R6">
        <f>IFERROR(AVERAGE(INDEX(ipopt_output!R:R, (ROW()-2)*$U6+2):INDEX(ipopt_output!R:R, (ROW()-2)*$U6 + $U6+1)), "")</f>
        <v>1.2900225000000001</v>
      </c>
      <c r="S6">
        <f>IFERROR(AVERAGE(INDEX(ipopt_output!S:S, (ROW()-2)*$U6+2):INDEX(ipopt_output!S:S, (ROW()-2)*$U6 + $U6+1)), "")</f>
        <v>20260407</v>
      </c>
      <c r="T6">
        <f>IFERROR(AVERAGE(INDEX(ipopt_output!T:T, (ROW()-2)*$U6+2):INDEX(ipopt_output!T:T, (ROW()-2)*$U6 + $U6+1)), "")</f>
        <v>169857.75</v>
      </c>
      <c r="U6" cm="1">
        <f t="array" ref="U6">COUNTIF(ipopt_output!A:A,INDEX(ipopt_output!A:A,SUM(U$2:U5)+2))</f>
        <v>4</v>
      </c>
    </row>
    <row r="7" spans="1:21" x14ac:dyDescent="0.25">
      <c r="A7" t="str" cm="1">
        <f t="array" ref="A7">INDEX(ipopt_output!A:A, (ROW()-2)*$U7+2)</f>
        <v>cart_pole_swing_rk4_run</v>
      </c>
      <c r="B7" t="str" cm="1">
        <f t="array" ref="B7">INDEX(ipopt_output!B:B, (ROW()-2)*$U7+2)</f>
        <v>Optimal Solution Found.</v>
      </c>
      <c r="C7">
        <f>IFERROR(AVERAGE(INDEX(ipopt_output!C:C, (ROW()-2)*$U7+2):INDEX(ipopt_output!C:C, (ROW()-2)*$U7 + $U7+1)), "")</f>
        <v>1195</v>
      </c>
      <c r="D7">
        <f>IFERROR(AVERAGE(INDEX(ipopt_output!D:D, (ROW()-2)*$U7+2):INDEX(ipopt_output!D:D, (ROW()-2)*$U7 + $U7+1)), "")</f>
        <v>1148</v>
      </c>
      <c r="E7">
        <f>IFERROR(AVERAGE(INDEX(ipopt_output!E:E, (ROW()-2)*$U7+2):INDEX(ipopt_output!E:E, (ROW()-2)*$U7 + $U7+1)), "")</f>
        <v>50</v>
      </c>
      <c r="F7">
        <f>IFERROR(AVERAGE(INDEX(ipopt_output!F:F, (ROW()-2)*$U7+2):INDEX(ipopt_output!F:F, (ROW()-2)*$U7 + $U7+1)), "")</f>
        <v>409</v>
      </c>
      <c r="G7">
        <f>IFERROR(AVERAGE(INDEX(ipopt_output!G:G, (ROW()-2)*$U7+2):INDEX(ipopt_output!G:G, (ROW()-2)*$U7 + $U7+1)), "")</f>
        <v>1921.397585361826</v>
      </c>
      <c r="H7">
        <f>IFERROR(AVERAGE(INDEX(ipopt_output!H:H, (ROW()-2)*$U7+2):INDEX(ipopt_output!H:H, (ROW()-2)*$U7 + $U7+1)), "")</f>
        <v>2.1722712517657783E-10</v>
      </c>
      <c r="I7">
        <f>IFERROR(AVERAGE(INDEX(ipopt_output!I:I, (ROW()-2)*$U7+2):INDEX(ipopt_output!I:I, (ROW()-2)*$U7 + $U7+1)), "")</f>
        <v>3.5357500000000002</v>
      </c>
      <c r="J7">
        <f>IFERROR(AVERAGE(INDEX(ipopt_output!J:J, (ROW()-2)*$U7+2):INDEX(ipopt_output!J:J, (ROW()-2)*$U7 + $U7+1)), "")</f>
        <v>0.72249999999999992</v>
      </c>
      <c r="K7" t="str">
        <f>IFERROR(AVERAGE(INDEX(ipopt_output!K:K, (ROW()-2)*$U7+2):INDEX(ipopt_output!K:K, (ROW()-2)*$U7 + $U7+1)), "")</f>
        <v/>
      </c>
      <c r="L7">
        <f>IFERROR(AVERAGE(INDEX(ipopt_output!L:L, (ROW()-2)*$U7+2):INDEX(ipopt_output!L:L, (ROW()-2)*$U7 + $U7+1)), "")</f>
        <v>5.3968749999999899E-2</v>
      </c>
      <c r="M7">
        <f>IFERROR(AVERAGE(INDEX(ipopt_output!M:M, (ROW()-2)*$U7+2):INDEX(ipopt_output!M:M, (ROW()-2)*$U7 + $U7+1)), "")</f>
        <v>4.4135402500000005</v>
      </c>
      <c r="N7">
        <f>IFERROR(AVERAGE(INDEX(ipopt_output!N:N, (ROW()-2)*$U7+2):INDEX(ipopt_output!N:N, (ROW()-2)*$U7 + $U7+1)), "")</f>
        <v>19139</v>
      </c>
      <c r="O7">
        <f>IFERROR(AVERAGE(INDEX(ipopt_output!O:O, (ROW()-2)*$U7+2):INDEX(ipopt_output!O:O, (ROW()-2)*$U7 + $U7+1)), "")</f>
        <v>1195</v>
      </c>
      <c r="P7">
        <f>IFERROR(AVERAGE(INDEX(ipopt_output!P:P, (ROW()-2)*$U7+2):INDEX(ipopt_output!P:P, (ROW()-2)*$U7 + $U7+1)), "")</f>
        <v>19447</v>
      </c>
      <c r="Q7">
        <f>IFERROR(AVERAGE(INDEX(ipopt_output!Q:Q, (ROW()-2)*$U7+2):INDEX(ipopt_output!Q:Q, (ROW()-2)*$U7 + $U7+1)), "")</f>
        <v>1198</v>
      </c>
      <c r="R7">
        <f>IFERROR(AVERAGE(INDEX(ipopt_output!R:R, (ROW()-2)*$U7+2):INDEX(ipopt_output!R:R, (ROW()-2)*$U7 + $U7+1)), "")</f>
        <v>4.4675075</v>
      </c>
      <c r="S7">
        <f>IFERROR(AVERAGE(INDEX(ipopt_output!S:S, (ROW()-2)*$U7+2):INDEX(ipopt_output!S:S, (ROW()-2)*$U7 + $U7+1)), "")</f>
        <v>20260407</v>
      </c>
      <c r="T7">
        <f>IFERROR(AVERAGE(INDEX(ipopt_output!T:T, (ROW()-2)*$U7+2):INDEX(ipopt_output!T:T, (ROW()-2)*$U7 + $U7+1)), "")</f>
        <v>161448.75</v>
      </c>
      <c r="U7" cm="1">
        <f t="array" ref="U7">COUNTIF(ipopt_output!A:A,INDEX(ipopt_output!A:A,SUM(U$2:U6)+2))</f>
        <v>4</v>
      </c>
    </row>
    <row r="8" spans="1:21" x14ac:dyDescent="0.25">
      <c r="A8" t="str" cm="1">
        <f t="array" ref="A8">INDEX(ipopt_output!A:A, (ROW()-2)*$U8+2)</f>
        <v>spot_jump_twist_col3_py</v>
      </c>
      <c r="B8" t="str" cm="1">
        <f t="array" ref="B8">INDEX(ipopt_output!B:B, (ROW()-2)*$U8+2)</f>
        <v>Converged to a point of local infeasibility. Problem may be infeasible.</v>
      </c>
      <c r="C8">
        <f>IFERROR(AVERAGE(INDEX(ipopt_output!C:C, (ROW()-2)*$U8+2):INDEX(ipopt_output!C:C, (ROW()-2)*$U8 + $U8+1)), "")</f>
        <v>8950</v>
      </c>
      <c r="D8">
        <f>IFERROR(AVERAGE(INDEX(ipopt_output!D:D, (ROW()-2)*$U8+2):INDEX(ipopt_output!D:D, (ROW()-2)*$U8 + $U8+1)), "")</f>
        <v>8337</v>
      </c>
      <c r="E8">
        <f>IFERROR(AVERAGE(INDEX(ipopt_output!E:E, (ROW()-2)*$U8+2):INDEX(ipopt_output!E:E, (ROW()-2)*$U8 + $U8+1)), "")</f>
        <v>1180</v>
      </c>
      <c r="F8">
        <f>IFERROR(AVERAGE(INDEX(ipopt_output!F:F, (ROW()-2)*$U8+2):INDEX(ipopt_output!F:F, (ROW()-2)*$U8 + $U8+1)), "")</f>
        <v>493</v>
      </c>
      <c r="G8">
        <f>IFERROR(AVERAGE(INDEX(ipopt_output!G:G, (ROW()-2)*$U8+2):INDEX(ipopt_output!G:G, (ROW()-2)*$U8 + $U8+1)), "")</f>
        <v>16947.152891601992</v>
      </c>
      <c r="H8">
        <f>IFERROR(AVERAGE(INDEX(ipopt_output!H:H, (ROW()-2)*$U8+2):INDEX(ipopt_output!H:H, (ROW()-2)*$U8 + $U8+1)), "")</f>
        <v>1.2411050059394912E-2</v>
      </c>
      <c r="I8">
        <f>IFERROR(AVERAGE(INDEX(ipopt_output!I:I, (ROW()-2)*$U8+2):INDEX(ipopt_output!I:I, (ROW()-2)*$U8 + $U8+1)), "")</f>
        <v>75.74199999999999</v>
      </c>
      <c r="J8">
        <f>IFERROR(AVERAGE(INDEX(ipopt_output!J:J, (ROW()-2)*$U8+2):INDEX(ipopt_output!J:J, (ROW()-2)*$U8 + $U8+1)), "")</f>
        <v>17.434750000000001</v>
      </c>
      <c r="K8">
        <f>IFERROR(AVERAGE(INDEX(ipopt_output!K:K, (ROW()-2)*$U8+2):INDEX(ipopt_output!K:K, (ROW()-2)*$U8 + $U8+1)), "")</f>
        <v>115.15038543624973</v>
      </c>
      <c r="L8" t="str">
        <f>IFERROR(AVERAGE(INDEX(ipopt_output!L:L, (ROW()-2)*$U8+2):INDEX(ipopt_output!L:L, (ROW()-2)*$U8 + $U8+1)), "")</f>
        <v/>
      </c>
      <c r="M8" t="str">
        <f>IFERROR(AVERAGE(INDEX(ipopt_output!M:M, (ROW()-2)*$U8+2):INDEX(ipopt_output!M:M, (ROW()-2)*$U8 + $U8+1)), "")</f>
        <v/>
      </c>
      <c r="N8" t="str">
        <f>IFERROR(AVERAGE(INDEX(ipopt_output!N:N, (ROW()-2)*$U8+2):INDEX(ipopt_output!N:N, (ROW()-2)*$U8 + $U8+1)), "")</f>
        <v/>
      </c>
      <c r="O8" t="str">
        <f>IFERROR(AVERAGE(INDEX(ipopt_output!O:O, (ROW()-2)*$U8+2):INDEX(ipopt_output!O:O, (ROW()-2)*$U8 + $U8+1)), "")</f>
        <v/>
      </c>
      <c r="P8" t="str">
        <f>IFERROR(AVERAGE(INDEX(ipopt_output!P:P, (ROW()-2)*$U8+2):INDEX(ipopt_output!P:P, (ROW()-2)*$U8 + $U8+1)), "")</f>
        <v/>
      </c>
      <c r="Q8" t="str">
        <f>IFERROR(AVERAGE(INDEX(ipopt_output!Q:Q, (ROW()-2)*$U8+2):INDEX(ipopt_output!Q:Q, (ROW()-2)*$U8 + $U8+1)), "")</f>
        <v/>
      </c>
      <c r="R8">
        <f>IFERROR(AVERAGE(INDEX(ipopt_output!R:R, (ROW()-2)*$U8+2):INDEX(ipopt_output!R:R, (ROW()-2)*$U8 + $U8+1)), "")</f>
        <v>115.15049999999999</v>
      </c>
      <c r="S8">
        <f>IFERROR(AVERAGE(INDEX(ipopt_output!S:S, (ROW()-2)*$U8+2):INDEX(ipopt_output!S:S, (ROW()-2)*$U8 + $U8+1)), "")</f>
        <v>20260407</v>
      </c>
      <c r="T8">
        <f>IFERROR(AVERAGE(INDEX(ipopt_output!T:T, (ROW()-2)*$U8+2):INDEX(ipopt_output!T:T, (ROW()-2)*$U8 + $U8+1)), "")</f>
        <v>169857.75</v>
      </c>
      <c r="U8" cm="1">
        <f t="array" ref="U8">COUNTIF(ipopt_output!A:A,INDEX(ipopt_output!A:A,SUM(U$2:U7)+2))</f>
        <v>4</v>
      </c>
    </row>
    <row r="9" spans="1:21" x14ac:dyDescent="0.25">
      <c r="A9" t="str" cm="1">
        <f t="array" ref="A9">INDEX(ipopt_output!A:A, (ROW()-2)*$U9+2)</f>
        <v>spot_jump_twist_col3_run</v>
      </c>
      <c r="B9" t="str" cm="1">
        <f t="array" ref="B9">INDEX(ipopt_output!B:B, (ROW()-2)*$U9+2)</f>
        <v>Optimal Solution Found.</v>
      </c>
      <c r="C9">
        <f>IFERROR(AVERAGE(INDEX(ipopt_output!C:C, (ROW()-2)*$U9+2):INDEX(ipopt_output!C:C, (ROW()-2)*$U9 + $U9+1)), "")</f>
        <v>12454</v>
      </c>
      <c r="D9">
        <f>IFERROR(AVERAGE(INDEX(ipopt_output!D:D, (ROW()-2)*$U9+2):INDEX(ipopt_output!D:D, (ROW()-2)*$U9 + $U9+1)), "")</f>
        <v>11828</v>
      </c>
      <c r="E9">
        <f>IFERROR(AVERAGE(INDEX(ipopt_output!E:E, (ROW()-2)*$U9+2):INDEX(ipopt_output!E:E, (ROW()-2)*$U9 + $U9+1)), "")</f>
        <v>1080</v>
      </c>
      <c r="F9">
        <f>IFERROR(AVERAGE(INDEX(ipopt_output!F:F, (ROW()-2)*$U9+2):INDEX(ipopt_output!F:F, (ROW()-2)*$U9 + $U9+1)), "")</f>
        <v>208</v>
      </c>
      <c r="G9">
        <f>IFERROR(AVERAGE(INDEX(ipopt_output!G:G, (ROW()-2)*$U9+2):INDEX(ipopt_output!G:G, (ROW()-2)*$U9 + $U9+1)), "")</f>
        <v>55592.036459183291</v>
      </c>
      <c r="H9">
        <f>IFERROR(AVERAGE(INDEX(ipopt_output!H:H, (ROW()-2)*$U9+2):INDEX(ipopt_output!H:H, (ROW()-2)*$U9 + $U9+1)), "")</f>
        <v>1.0401282708460968E-5</v>
      </c>
      <c r="I9">
        <f>IFERROR(AVERAGE(INDEX(ipopt_output!I:I, (ROW()-2)*$U9+2):INDEX(ipopt_output!I:I, (ROW()-2)*$U9 + $U9+1)), "")</f>
        <v>266.3415</v>
      </c>
      <c r="J9">
        <f>IFERROR(AVERAGE(INDEX(ipopt_output!J:J, (ROW()-2)*$U9+2):INDEX(ipopt_output!J:J, (ROW()-2)*$U9 + $U9+1)), "")</f>
        <v>600.79250000000002</v>
      </c>
      <c r="K9" t="str">
        <f>IFERROR(AVERAGE(INDEX(ipopt_output!K:K, (ROW()-2)*$U9+2):INDEX(ipopt_output!K:K, (ROW()-2)*$U9 + $U9+1)), "")</f>
        <v/>
      </c>
      <c r="L9">
        <f>IFERROR(AVERAGE(INDEX(ipopt_output!L:L, (ROW()-2)*$U9+2):INDEX(ipopt_output!L:L, (ROW()-2)*$U9 + $U9+1)), "")</f>
        <v>2.0476297500000271</v>
      </c>
      <c r="M9">
        <f>IFERROR(AVERAGE(INDEX(ipopt_output!M:M, (ROW()-2)*$U9+2):INDEX(ipopt_output!M:M, (ROW()-2)*$U9 + $U9+1)), "")</f>
        <v>877.62549925000008</v>
      </c>
      <c r="N9">
        <f>IFERROR(AVERAGE(INDEX(ipopt_output!N:N, (ROW()-2)*$U9+2):INDEX(ipopt_output!N:N, (ROW()-2)*$U9 + $U9+1)), "")</f>
        <v>309215</v>
      </c>
      <c r="O9">
        <f>IFERROR(AVERAGE(INDEX(ipopt_output!O:O, (ROW()-2)*$U9+2):INDEX(ipopt_output!O:O, (ROW()-2)*$U9 + $U9+1)), "")</f>
        <v>12454</v>
      </c>
      <c r="P9">
        <f>IFERROR(AVERAGE(INDEX(ipopt_output!P:P, (ROW()-2)*$U9+2):INDEX(ipopt_output!P:P, (ROW()-2)*$U9 + $U9+1)), "")</f>
        <v>318599</v>
      </c>
      <c r="Q9">
        <f>IFERROR(AVERAGE(INDEX(ipopt_output!Q:Q, (ROW()-2)*$U9+2):INDEX(ipopt_output!Q:Q, (ROW()-2)*$U9 + $U9+1)), "")</f>
        <v>12908</v>
      </c>
      <c r="R9">
        <f>IFERROR(AVERAGE(INDEX(ipopt_output!R:R, (ROW()-2)*$U9+2):INDEX(ipopt_output!R:R, (ROW()-2)*$U9 + $U9+1)), "")</f>
        <v>879.67325000000005</v>
      </c>
      <c r="S9">
        <f>IFERROR(AVERAGE(INDEX(ipopt_output!S:S, (ROW()-2)*$U9+2):INDEX(ipopt_output!S:S, (ROW()-2)*$U9 + $U9+1)), "")</f>
        <v>20260407</v>
      </c>
      <c r="T9">
        <f>IFERROR(AVERAGE(INDEX(ipopt_output!T:T, (ROW()-2)*$U9+2):INDEX(ipopt_output!T:T, (ROW()-2)*$U9 + $U9+1)), "")</f>
        <v>161448.75</v>
      </c>
      <c r="U9" cm="1">
        <f t="array" ref="U9">COUNTIF(ipopt_output!A:A,INDEX(ipopt_output!A:A,SUM(U$2:U8)+2))</f>
        <v>4</v>
      </c>
    </row>
    <row r="10" spans="1:21" x14ac:dyDescent="0.25">
      <c r="A10" t="str" cm="1">
        <f t="array" ref="A10">INDEX(ipopt_output!A:A, (ROW()-2)*$U10+2)</f>
        <v>spot_jump_twist_rk1_py</v>
      </c>
      <c r="B10" t="str" cm="1">
        <f t="array" ref="B10">INDEX(ipopt_output!B:B, (ROW()-2)*$U10+2)</f>
        <v>Converged to a point of local infeasibility. Problem may be infeasible.</v>
      </c>
      <c r="C10">
        <f>IFERROR(AVERAGE(INDEX(ipopt_output!C:C, (ROW()-2)*$U10+2):INDEX(ipopt_output!C:C, (ROW()-2)*$U10 + $U10+1)), "")</f>
        <v>3400</v>
      </c>
      <c r="D10">
        <f>IFERROR(AVERAGE(INDEX(ipopt_output!D:D, (ROW()-2)*$U10+2):INDEX(ipopt_output!D:D, (ROW()-2)*$U10 + $U10+1)), "")</f>
        <v>2787</v>
      </c>
      <c r="E10">
        <f>IFERROR(AVERAGE(INDEX(ipopt_output!E:E, (ROW()-2)*$U10+2):INDEX(ipopt_output!E:E, (ROW()-2)*$U10 + $U10+1)), "")</f>
        <v>1180</v>
      </c>
      <c r="F10">
        <f>IFERROR(AVERAGE(INDEX(ipopt_output!F:F, (ROW()-2)*$U10+2):INDEX(ipopt_output!F:F, (ROW()-2)*$U10 + $U10+1)), "")</f>
        <v>398</v>
      </c>
      <c r="G10">
        <f>IFERROR(AVERAGE(INDEX(ipopt_output!G:G, (ROW()-2)*$U10+2):INDEX(ipopt_output!G:G, (ROW()-2)*$U10 + $U10+1)), "")</f>
        <v>19921.461898401179</v>
      </c>
      <c r="H10">
        <f>IFERROR(AVERAGE(INDEX(ipopt_output!H:H, (ROW()-2)*$U10+2):INDEX(ipopt_output!H:H, (ROW()-2)*$U10 + $U10+1)), "")</f>
        <v>1.2054748952508354E-2</v>
      </c>
      <c r="I10">
        <f>IFERROR(AVERAGE(INDEX(ipopt_output!I:I, (ROW()-2)*$U10+2):INDEX(ipopt_output!I:I, (ROW()-2)*$U10 + $U10+1)), "")</f>
        <v>81.296999999999997</v>
      </c>
      <c r="J10">
        <f>IFERROR(AVERAGE(INDEX(ipopt_output!J:J, (ROW()-2)*$U10+2):INDEX(ipopt_output!J:J, (ROW()-2)*$U10 + $U10+1)), "")</f>
        <v>12.346250000000001</v>
      </c>
      <c r="K10">
        <f>IFERROR(AVERAGE(INDEX(ipopt_output!K:K, (ROW()-2)*$U10+2):INDEX(ipopt_output!K:K, (ROW()-2)*$U10 + $U10+1)), "")</f>
        <v>114.14775950699914</v>
      </c>
      <c r="L10" t="str">
        <f>IFERROR(AVERAGE(INDEX(ipopt_output!L:L, (ROW()-2)*$U10+2):INDEX(ipopt_output!L:L, (ROW()-2)*$U10 + $U10+1)), "")</f>
        <v/>
      </c>
      <c r="M10" t="str">
        <f>IFERROR(AVERAGE(INDEX(ipopt_output!M:M, (ROW()-2)*$U10+2):INDEX(ipopt_output!M:M, (ROW()-2)*$U10 + $U10+1)), "")</f>
        <v/>
      </c>
      <c r="N10" t="str">
        <f>IFERROR(AVERAGE(INDEX(ipopt_output!N:N, (ROW()-2)*$U10+2):INDEX(ipopt_output!N:N, (ROW()-2)*$U10 + $U10+1)), "")</f>
        <v/>
      </c>
      <c r="O10" t="str">
        <f>IFERROR(AVERAGE(INDEX(ipopt_output!O:O, (ROW()-2)*$U10+2):INDEX(ipopt_output!O:O, (ROW()-2)*$U10 + $U10+1)), "")</f>
        <v/>
      </c>
      <c r="P10" t="str">
        <f>IFERROR(AVERAGE(INDEX(ipopt_output!P:P, (ROW()-2)*$U10+2):INDEX(ipopt_output!P:P, (ROW()-2)*$U10 + $U10+1)), "")</f>
        <v/>
      </c>
      <c r="Q10" t="str">
        <f>IFERROR(AVERAGE(INDEX(ipopt_output!Q:Q, (ROW()-2)*$U10+2):INDEX(ipopt_output!Q:Q, (ROW()-2)*$U10 + $U10+1)), "")</f>
        <v/>
      </c>
      <c r="R10">
        <f>IFERROR(AVERAGE(INDEX(ipopt_output!R:R, (ROW()-2)*$U10+2):INDEX(ipopt_output!R:R, (ROW()-2)*$U10 + $U10+1)), "")</f>
        <v>114.14774999999999</v>
      </c>
      <c r="S10">
        <f>IFERROR(AVERAGE(INDEX(ipopt_output!S:S, (ROW()-2)*$U10+2):INDEX(ipopt_output!S:S, (ROW()-2)*$U10 + $U10+1)), "")</f>
        <v>20260407</v>
      </c>
      <c r="T10">
        <f>IFERROR(AVERAGE(INDEX(ipopt_output!T:T, (ROW()-2)*$U10+2):INDEX(ipopt_output!T:T, (ROW()-2)*$U10 + $U10+1)), "")</f>
        <v>169857.75</v>
      </c>
      <c r="U10" cm="1">
        <f t="array" ref="U10">COUNTIF(ipopt_output!A:A,INDEX(ipopt_output!A:A,SUM(U$2:U9)+2))</f>
        <v>4</v>
      </c>
    </row>
    <row r="11" spans="1:21" x14ac:dyDescent="0.25">
      <c r="A11" t="str" cm="1">
        <f t="array" ref="A11">INDEX(ipopt_output!A:A, (ROW()-2)*$U11+2)</f>
        <v>spot_jump_twist_rk1_run</v>
      </c>
      <c r="B11" t="str" cm="1">
        <f t="array" ref="B11">INDEX(ipopt_output!B:B, (ROW()-2)*$U11+2)</f>
        <v>Optimal Solution Found.</v>
      </c>
      <c r="C11">
        <f>IFERROR(AVERAGE(INDEX(ipopt_output!C:C, (ROW()-2)*$U11+2):INDEX(ipopt_output!C:C, (ROW()-2)*$U11 + $U11+1)), "")</f>
        <v>3106</v>
      </c>
      <c r="D11">
        <f>IFERROR(AVERAGE(INDEX(ipopt_output!D:D, (ROW()-2)*$U11+2):INDEX(ipopt_output!D:D, (ROW()-2)*$U11 + $U11+1)), "")</f>
        <v>2480</v>
      </c>
      <c r="E11">
        <f>IFERROR(AVERAGE(INDEX(ipopt_output!E:E, (ROW()-2)*$U11+2):INDEX(ipopt_output!E:E, (ROW()-2)*$U11 + $U11+1)), "")</f>
        <v>1080</v>
      </c>
      <c r="F11">
        <f>IFERROR(AVERAGE(INDEX(ipopt_output!F:F, (ROW()-2)*$U11+2):INDEX(ipopt_output!F:F, (ROW()-2)*$U11 + $U11+1)), "")</f>
        <v>146</v>
      </c>
      <c r="G11">
        <f>IFERROR(AVERAGE(INDEX(ipopt_output!G:G, (ROW()-2)*$U11+2):INDEX(ipopt_output!G:G, (ROW()-2)*$U11 + $U11+1)), "")</f>
        <v>14277.068949341028</v>
      </c>
      <c r="H11">
        <f>IFERROR(AVERAGE(INDEX(ipopt_output!H:H, (ROW()-2)*$U11+2):INDEX(ipopt_output!H:H, (ROW()-2)*$U11 + $U11+1)), "")</f>
        <v>1.1096562513301933E-7</v>
      </c>
      <c r="I11">
        <f>IFERROR(AVERAGE(INDEX(ipopt_output!I:I, (ROW()-2)*$U11+2):INDEX(ipopt_output!I:I, (ROW()-2)*$U11 + $U11+1)), "")</f>
        <v>43.664499999999997</v>
      </c>
      <c r="J11">
        <f>IFERROR(AVERAGE(INDEX(ipopt_output!J:J, (ROW()-2)*$U11+2):INDEX(ipopt_output!J:J, (ROW()-2)*$U11 + $U11+1)), "")</f>
        <v>421.62725</v>
      </c>
      <c r="K11" t="str">
        <f>IFERROR(AVERAGE(INDEX(ipopt_output!K:K, (ROW()-2)*$U11+2):INDEX(ipopt_output!K:K, (ROW()-2)*$U11 + $U11+1)), "")</f>
        <v/>
      </c>
      <c r="L11">
        <f>IFERROR(AVERAGE(INDEX(ipopt_output!L:L, (ROW()-2)*$U11+2):INDEX(ipopt_output!L:L, (ROW()-2)*$U11 + $U11+1)), "")</f>
        <v>1.9194952500000113</v>
      </c>
      <c r="M11">
        <f>IFERROR(AVERAGE(INDEX(ipopt_output!M:M, (ROW()-2)*$U11+2):INDEX(ipopt_output!M:M, (ROW()-2)*$U11 + $U11+1)), "")</f>
        <v>468.29926774999996</v>
      </c>
      <c r="N11">
        <f>IFERROR(AVERAGE(INDEX(ipopt_output!N:N, (ROW()-2)*$U11+2):INDEX(ipopt_output!N:N, (ROW()-2)*$U11 + $U11+1)), "")</f>
        <v>288365</v>
      </c>
      <c r="O11">
        <f>IFERROR(AVERAGE(INDEX(ipopt_output!O:O, (ROW()-2)*$U11+2):INDEX(ipopt_output!O:O, (ROW()-2)*$U11 + $U11+1)), "")</f>
        <v>3106</v>
      </c>
      <c r="P11">
        <f>IFERROR(AVERAGE(INDEX(ipopt_output!P:P, (ROW()-2)*$U11+2):INDEX(ipopt_output!P:P, (ROW()-2)*$U11 + $U11+1)), "")</f>
        <v>292349</v>
      </c>
      <c r="Q11">
        <f>IFERROR(AVERAGE(INDEX(ipopt_output!Q:Q, (ROW()-2)*$U11+2):INDEX(ipopt_output!Q:Q, (ROW()-2)*$U11 + $U11+1)), "")</f>
        <v>3560</v>
      </c>
      <c r="R11">
        <f>IFERROR(AVERAGE(INDEX(ipopt_output!R:R, (ROW()-2)*$U11+2):INDEX(ipopt_output!R:R, (ROW()-2)*$U11 + $U11+1)), "")</f>
        <v>470.21875</v>
      </c>
      <c r="S11">
        <f>IFERROR(AVERAGE(INDEX(ipopt_output!S:S, (ROW()-2)*$U11+2):INDEX(ipopt_output!S:S, (ROW()-2)*$U11 + $U11+1)), "")</f>
        <v>20260407</v>
      </c>
      <c r="T11">
        <f>IFERROR(AVERAGE(INDEX(ipopt_output!T:T, (ROW()-2)*$U11+2):INDEX(ipopt_output!T:T, (ROW()-2)*$U11 + $U11+1)), "")</f>
        <v>161448.75</v>
      </c>
      <c r="U11" cm="1">
        <f t="array" ref="U11">COUNTIF(ipopt_output!A:A,INDEX(ipopt_output!A:A,SUM(U$2:U10)+2))</f>
        <v>4</v>
      </c>
    </row>
    <row r="12" spans="1:21" x14ac:dyDescent="0.25">
      <c r="A12" t="str" cm="1">
        <f t="array" ref="A12">INDEX(ipopt_output!A:A, (ROW()-2)*$U12+2)</f>
        <v>spot_jump_twist_rk4_py</v>
      </c>
      <c r="B12" t="str" cm="1">
        <f t="array" ref="B12">INDEX(ipopt_output!B:B, (ROW()-2)*$U12+2)</f>
        <v>Optimal Solution Found.</v>
      </c>
      <c r="C12">
        <f>IFERROR(AVERAGE(INDEX(ipopt_output!C:C, (ROW()-2)*$U12+2):INDEX(ipopt_output!C:C, (ROW()-2)*$U12 + $U12+1)), "")</f>
        <v>3400</v>
      </c>
      <c r="D12">
        <f>IFERROR(AVERAGE(INDEX(ipopt_output!D:D, (ROW()-2)*$U12+2):INDEX(ipopt_output!D:D, (ROW()-2)*$U12 + $U12+1)), "")</f>
        <v>2787</v>
      </c>
      <c r="E12">
        <f>IFERROR(AVERAGE(INDEX(ipopt_output!E:E, (ROW()-2)*$U12+2):INDEX(ipopt_output!E:E, (ROW()-2)*$U12 + $U12+1)), "")</f>
        <v>1180</v>
      </c>
      <c r="F12">
        <f>IFERROR(AVERAGE(INDEX(ipopt_output!F:F, (ROW()-2)*$U12+2):INDEX(ipopt_output!F:F, (ROW()-2)*$U12 + $U12+1)), "")</f>
        <v>330</v>
      </c>
      <c r="G12">
        <f>IFERROR(AVERAGE(INDEX(ipopt_output!G:G, (ROW()-2)*$U12+2):INDEX(ipopt_output!G:G, (ROW()-2)*$U12 + $U12+1)), "")</f>
        <v>13127.374891315938</v>
      </c>
      <c r="H12">
        <f>IFERROR(AVERAGE(INDEX(ipopt_output!H:H, (ROW()-2)*$U12+2):INDEX(ipopt_output!H:H, (ROW()-2)*$U12 + $U12+1)), "")</f>
        <v>1.4127164160715466E-7</v>
      </c>
      <c r="I12">
        <f>IFERROR(AVERAGE(INDEX(ipopt_output!I:I, (ROW()-2)*$U12+2):INDEX(ipopt_output!I:I, (ROW()-2)*$U12 + $U12+1)), "")</f>
        <v>41.130499999999998</v>
      </c>
      <c r="J12">
        <f>IFERROR(AVERAGE(INDEX(ipopt_output!J:J, (ROW()-2)*$U12+2):INDEX(ipopt_output!J:J, (ROW()-2)*$U12 + $U12+1)), "")</f>
        <v>11.438750000000001</v>
      </c>
      <c r="K12">
        <f>IFERROR(AVERAGE(INDEX(ipopt_output!K:K, (ROW()-2)*$U12+2):INDEX(ipopt_output!K:K, (ROW()-2)*$U12 + $U12+1)), "")</f>
        <v>66.521995425999421</v>
      </c>
      <c r="L12" t="str">
        <f>IFERROR(AVERAGE(INDEX(ipopt_output!L:L, (ROW()-2)*$U12+2):INDEX(ipopt_output!L:L, (ROW()-2)*$U12 + $U12+1)), "")</f>
        <v/>
      </c>
      <c r="M12" t="str">
        <f>IFERROR(AVERAGE(INDEX(ipopt_output!M:M, (ROW()-2)*$U12+2):INDEX(ipopt_output!M:M, (ROW()-2)*$U12 + $U12+1)), "")</f>
        <v/>
      </c>
      <c r="N12" t="str">
        <f>IFERROR(AVERAGE(INDEX(ipopt_output!N:N, (ROW()-2)*$U12+2):INDEX(ipopt_output!N:N, (ROW()-2)*$U12 + $U12+1)), "")</f>
        <v/>
      </c>
      <c r="O12" t="str">
        <f>IFERROR(AVERAGE(INDEX(ipopt_output!O:O, (ROW()-2)*$U12+2):INDEX(ipopt_output!O:O, (ROW()-2)*$U12 + $U12+1)), "")</f>
        <v/>
      </c>
      <c r="P12" t="str">
        <f>IFERROR(AVERAGE(INDEX(ipopt_output!P:P, (ROW()-2)*$U12+2):INDEX(ipopt_output!P:P, (ROW()-2)*$U12 + $U12+1)), "")</f>
        <v/>
      </c>
      <c r="Q12" t="str">
        <f>IFERROR(AVERAGE(INDEX(ipopt_output!Q:Q, (ROW()-2)*$U12+2):INDEX(ipopt_output!Q:Q, (ROW()-2)*$U12 + $U12+1)), "")</f>
        <v/>
      </c>
      <c r="R12">
        <f>IFERROR(AVERAGE(INDEX(ipopt_output!R:R, (ROW()-2)*$U12+2):INDEX(ipopt_output!R:R, (ROW()-2)*$U12 + $U12+1)), "")</f>
        <v>66.521974999999998</v>
      </c>
      <c r="S12">
        <f>IFERROR(AVERAGE(INDEX(ipopt_output!S:S, (ROW()-2)*$U12+2):INDEX(ipopt_output!S:S, (ROW()-2)*$U12 + $U12+1)), "")</f>
        <v>20260407</v>
      </c>
      <c r="T12">
        <f>IFERROR(AVERAGE(INDEX(ipopt_output!T:T, (ROW()-2)*$U12+2):INDEX(ipopt_output!T:T, (ROW()-2)*$U12 + $U12+1)), "")</f>
        <v>169857.75</v>
      </c>
      <c r="U12" cm="1">
        <f t="array" ref="U12">COUNTIF(ipopt_output!A:A,INDEX(ipopt_output!A:A,SUM(U$2:U11)+2))</f>
        <v>4</v>
      </c>
    </row>
    <row r="13" spans="1:21" x14ac:dyDescent="0.25">
      <c r="A13" t="str" cm="1">
        <f t="array" ref="A13">INDEX(ipopt_output!A:A, (ROW()-2)*$U13+2)</f>
        <v>spot_jump_twist_rk4_run</v>
      </c>
      <c r="B13" t="str" cm="1">
        <f t="array" ref="B13">INDEX(ipopt_output!B:B, (ROW()-2)*$U13+2)</f>
        <v>Optimal Solution Found.</v>
      </c>
      <c r="C13">
        <f>IFERROR(AVERAGE(INDEX(ipopt_output!C:C, (ROW()-2)*$U13+2):INDEX(ipopt_output!C:C, (ROW()-2)*$U13 + $U13+1)), "")</f>
        <v>12436</v>
      </c>
      <c r="D13">
        <f>IFERROR(AVERAGE(INDEX(ipopt_output!D:D, (ROW()-2)*$U13+2):INDEX(ipopt_output!D:D, (ROW()-2)*$U13 + $U13+1)), "")</f>
        <v>11810</v>
      </c>
      <c r="E13">
        <f>IFERROR(AVERAGE(INDEX(ipopt_output!E:E, (ROW()-2)*$U13+2):INDEX(ipopt_output!E:E, (ROW()-2)*$U13 + $U13+1)), "")</f>
        <v>1080</v>
      </c>
      <c r="F13">
        <f>IFERROR(AVERAGE(INDEX(ipopt_output!F:F, (ROW()-2)*$U13+2):INDEX(ipopt_output!F:F, (ROW()-2)*$U13 + $U13+1)), "")</f>
        <v>189</v>
      </c>
      <c r="G13">
        <f>IFERROR(AVERAGE(INDEX(ipopt_output!G:G, (ROW()-2)*$U13+2):INDEX(ipopt_output!G:G, (ROW()-2)*$U13 + $U13+1)), "")</f>
        <v>55595.282261664579</v>
      </c>
      <c r="H13">
        <f>IFERROR(AVERAGE(INDEX(ipopt_output!H:H, (ROW()-2)*$U13+2):INDEX(ipopt_output!H:H, (ROW()-2)*$U13 + $U13+1)), "")</f>
        <v>2.9638351906502436E-5</v>
      </c>
      <c r="I13">
        <f>IFERROR(AVERAGE(INDEX(ipopt_output!I:I, (ROW()-2)*$U13+2):INDEX(ipopt_output!I:I, (ROW()-2)*$U13 + $U13+1)), "")</f>
        <v>71.884999999999991</v>
      </c>
      <c r="J13">
        <f>IFERROR(AVERAGE(INDEX(ipopt_output!J:J, (ROW()-2)*$U13+2):INDEX(ipopt_output!J:J, (ROW()-2)*$U13 + $U13+1)), "")</f>
        <v>556.81299999999999</v>
      </c>
      <c r="K13" t="str">
        <f>IFERROR(AVERAGE(INDEX(ipopt_output!K:K, (ROW()-2)*$U13+2):INDEX(ipopt_output!K:K, (ROW()-2)*$U13 + $U13+1)), "")</f>
        <v/>
      </c>
      <c r="L13">
        <f>IFERROR(AVERAGE(INDEX(ipopt_output!L:L, (ROW()-2)*$U13+2):INDEX(ipopt_output!L:L, (ROW()-2)*$U13 + $U13+1)), "")</f>
        <v>2.0014387500000339</v>
      </c>
      <c r="M13">
        <f>IFERROR(AVERAGE(INDEX(ipopt_output!M:M, (ROW()-2)*$U13+2):INDEX(ipopt_output!M:M, (ROW()-2)*$U13 + $U13+1)), "")</f>
        <v>632.8794539999999</v>
      </c>
      <c r="N13">
        <f>IFERROR(AVERAGE(INDEX(ipopt_output!N:N, (ROW()-2)*$U13+2):INDEX(ipopt_output!N:N, (ROW()-2)*$U13 + $U13+1)), "")</f>
        <v>309215</v>
      </c>
      <c r="O13">
        <f>IFERROR(AVERAGE(INDEX(ipopt_output!O:O, (ROW()-2)*$U13+2):INDEX(ipopt_output!O:O, (ROW()-2)*$U13 + $U13+1)), "")</f>
        <v>12436</v>
      </c>
      <c r="P13">
        <f>IFERROR(AVERAGE(INDEX(ipopt_output!P:P, (ROW()-2)*$U13+2):INDEX(ipopt_output!P:P, (ROW()-2)*$U13 + $U13+1)), "")</f>
        <v>318599</v>
      </c>
      <c r="Q13">
        <f>IFERROR(AVERAGE(INDEX(ipopt_output!Q:Q, (ROW()-2)*$U13+2):INDEX(ipopt_output!Q:Q, (ROW()-2)*$U13 + $U13+1)), "")</f>
        <v>12890</v>
      </c>
      <c r="R13">
        <f>IFERROR(AVERAGE(INDEX(ipopt_output!R:R, (ROW()-2)*$U13+2):INDEX(ipopt_output!R:R, (ROW()-2)*$U13 + $U13+1)), "")</f>
        <v>634.88075000000003</v>
      </c>
      <c r="S13">
        <f>IFERROR(AVERAGE(INDEX(ipopt_output!S:S, (ROW()-2)*$U13+2):INDEX(ipopt_output!S:S, (ROW()-2)*$U13 + $U13+1)), "")</f>
        <v>20260407</v>
      </c>
      <c r="T13">
        <f>IFERROR(AVERAGE(INDEX(ipopt_output!T:T, (ROW()-2)*$U13+2):INDEX(ipopt_output!T:T, (ROW()-2)*$U13 + $U13+1)), "")</f>
        <v>161448.75</v>
      </c>
      <c r="U13" cm="1">
        <f t="array" ref="U13">COUNTIF(ipopt_output!A:A,INDEX(ipopt_output!A:A,SUM(U$2:U12)+2))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E7C0-ABEA-4313-884B-8140DD8DD145}">
  <dimension ref="A1:T13"/>
  <sheetViews>
    <sheetView zoomScale="140" zoomScaleNormal="140" workbookViewId="0">
      <selection activeCell="A5" sqref="A5"/>
    </sheetView>
  </sheetViews>
  <sheetFormatPr defaultRowHeight="15" x14ac:dyDescent="0.25"/>
  <cols>
    <col min="1" max="1" width="24.140625" bestFit="1" customWidth="1"/>
    <col min="2" max="2" width="12" customWidth="1"/>
    <col min="4" max="4" width="19.140625" bestFit="1" customWidth="1"/>
    <col min="5" max="5" width="20.85546875" bestFit="1" customWidth="1"/>
    <col min="6" max="6" width="9.42578125" bestFit="1" customWidth="1"/>
    <col min="7" max="7" width="18.140625" bestFit="1" customWidth="1"/>
    <col min="8" max="8" width="28.140625" bestFit="1" customWidth="1"/>
    <col min="9" max="9" width="14.7109375" bestFit="1" customWidth="1"/>
    <col min="10" max="13" width="13.28515625" bestFit="1" customWidth="1"/>
    <col min="14" max="14" width="5.85546875" bestFit="1" customWidth="1"/>
    <col min="15" max="15" width="6.85546875" bestFit="1" customWidth="1"/>
    <col min="16" max="16" width="6.42578125" bestFit="1" customWidth="1"/>
    <col min="17" max="17" width="7.42578125" bestFit="1" customWidth="1"/>
    <col min="18" max="18" width="13.28515625" bestFit="1" customWidth="1"/>
    <col min="19" max="19" width="8.7109375" bestFit="1" customWidth="1"/>
    <col min="20" max="20" width="13.7109375" bestFit="1" customWidth="1"/>
  </cols>
  <sheetData>
    <row r="1" spans="1:20" x14ac:dyDescent="0.25">
      <c r="A1" t="str">
        <f>ipopt_output!A1</f>
        <v>run</v>
      </c>
      <c r="B1" t="str">
        <f>ipopt_output!B1</f>
        <v>status</v>
      </c>
      <c r="C1" t="str">
        <f>ipopt_output!C1</f>
        <v>variables</v>
      </c>
      <c r="D1" t="str">
        <f>ipopt_output!D1</f>
        <v>equality_constraints</v>
      </c>
      <c r="E1" t="str">
        <f>ipopt_output!E1</f>
        <v>inequality_constraints</v>
      </c>
      <c r="F1" t="str">
        <f>ipopt_output!F1</f>
        <v>iterations</v>
      </c>
      <c r="G1" t="str">
        <f>ipopt_output!G1</f>
        <v>objective_unscaled</v>
      </c>
      <c r="H1" t="str">
        <f>ipopt_output!H1</f>
        <v>constraint_violation_unscaled</v>
      </c>
      <c r="I1" t="str">
        <f>ipopt_output!I1</f>
        <v>ipopt_cpu_secs</v>
      </c>
      <c r="J1" t="str">
        <f>ipopt_output!J1</f>
        <v>nlp_cpu_secs</v>
      </c>
      <c r="K1" t="str">
        <f>ipopt_output!K1</f>
        <v>python_wall</v>
      </c>
      <c r="L1" t="str">
        <f>ipopt_output!L1</f>
        <v>ampl_wall</v>
      </c>
      <c r="M1" t="str">
        <f>ipopt_output!M1</f>
        <v>solve_wall</v>
      </c>
      <c r="N1" t="str">
        <f>ipopt_output!N1</f>
        <v>nvars</v>
      </c>
      <c r="O1" t="str">
        <f>ipopt_output!O1</f>
        <v>snvars</v>
      </c>
      <c r="P1" t="str">
        <f>ipopt_output!P1</f>
        <v>ncons</v>
      </c>
      <c r="Q1" t="str">
        <f>ipopt_output!Q1</f>
        <v>sncons</v>
      </c>
      <c r="R1" t="str">
        <f>ipopt_output!R1</f>
        <v>total_wall</v>
      </c>
      <c r="S1" t="str">
        <f>ipopt_output!S1</f>
        <v>run_date</v>
      </c>
      <c r="T1" t="str">
        <f>ipopt_output!T1</f>
        <v>run_start_time</v>
      </c>
    </row>
    <row r="2" spans="1:20" x14ac:dyDescent="0.25">
      <c r="A2" t="str" cm="1">
        <f t="array" ref="A2">INDEX(ipopt_output!A:A, (ROW()-2)*averages!$U2+2)</f>
        <v>cart_pole_swing_col3_py</v>
      </c>
      <c r="B2" t="str" cm="1">
        <f t="array" ref="B2">INDEX(ipopt_output!B:B, (ROW()-2)*averages!$U2+2)</f>
        <v>Optimal Solution Found.</v>
      </c>
      <c r="C2">
        <f>IFERROR(_xlfn.STDEV.S(INDEX(ipopt_output!C:C, (ROW()-2)*averages!$U2+2):INDEX(ipopt_output!C:C, (ROW()-2)*averages!$U2+averages!$U2+1)), "")</f>
        <v>0</v>
      </c>
      <c r="D2">
        <f>IFERROR(_xlfn.STDEV.S(INDEX(ipopt_output!D:D, (ROW()-2)*averages!$U2+2):INDEX(ipopt_output!D:D, (ROW()-2)*averages!$U2+averages!$U2+1)), "")</f>
        <v>0</v>
      </c>
      <c r="E2">
        <f>IFERROR(_xlfn.STDEV.S(INDEX(ipopt_output!E:E, (ROW()-2)*averages!$U2+2):INDEX(ipopt_output!E:E, (ROW()-2)*averages!$U2+averages!$U2+1)), "")</f>
        <v>0</v>
      </c>
      <c r="F2">
        <f>IFERROR(_xlfn.STDEV.S(INDEX(ipopt_output!F:F, (ROW()-2)*averages!$U2+2):INDEX(ipopt_output!F:F, (ROW()-2)*averages!$U2+averages!$U2+1)), "")</f>
        <v>0</v>
      </c>
      <c r="G2">
        <f>IFERROR(_xlfn.STDEV.S(INDEX(ipopt_output!G:G, (ROW()-2)*averages!$U2+2):INDEX(ipopt_output!G:G, (ROW()-2)*averages!$U2+averages!$U2+1)), "")</f>
        <v>0</v>
      </c>
      <c r="H2">
        <f>IFERROR(_xlfn.STDEV.S(INDEX(ipopt_output!H:H, (ROW()-2)*averages!$U2+2):INDEX(ipopt_output!H:H, (ROW()-2)*averages!$U2+averages!$U2+1)), "")</f>
        <v>0</v>
      </c>
      <c r="I2">
        <f>IFERROR(_xlfn.STDEV.S(INDEX(ipopt_output!I:I, (ROW()-2)*averages!$U2+2):INDEX(ipopt_output!I:I, (ROW()-2)*averages!$U2+averages!$U2+1)), "")</f>
        <v>1.9270011243726133E-2</v>
      </c>
      <c r="J2">
        <f>IFERROR(_xlfn.STDEV.S(INDEX(ipopt_output!J:J, (ROW()-2)*averages!$U2+2):INDEX(ipopt_output!J:J, (ROW()-2)*averages!$U2+averages!$U2+1)), "")</f>
        <v>2.6299556396765732E-3</v>
      </c>
      <c r="K2">
        <f>IFERROR(_xlfn.STDEV.S(INDEX(ipopt_output!K:K, (ROW()-2)*averages!$U2+2):INDEX(ipopt_output!K:K, (ROW()-2)*averages!$U2+averages!$U2+1)), "")</f>
        <v>6.5277070187467423E-2</v>
      </c>
      <c r="L2" t="str">
        <f>IFERROR(_xlfn.STDEV.S(INDEX(ipopt_output!L:L, (ROW()-2)*averages!$U2+2):INDEX(ipopt_output!L:L, (ROW()-2)*averages!$U2+averages!$U2+1)), "")</f>
        <v/>
      </c>
      <c r="M2" t="str">
        <f>IFERROR(_xlfn.STDEV.S(INDEX(ipopt_output!M:M, (ROW()-2)*averages!$U2+2):INDEX(ipopt_output!M:M, (ROW()-2)*averages!$U2+averages!$U2+1)), "")</f>
        <v/>
      </c>
      <c r="N2" t="str">
        <f>IFERROR(_xlfn.STDEV.S(INDEX(ipopt_output!N:N, (ROW()-2)*averages!$U2+2):INDEX(ipopt_output!N:N, (ROW()-2)*averages!$U2+averages!$U2+1)), "")</f>
        <v/>
      </c>
      <c r="O2" t="str">
        <f>IFERROR(_xlfn.STDEV.S(INDEX(ipopt_output!O:O, (ROW()-2)*averages!$U2+2):INDEX(ipopt_output!O:O, (ROW()-2)*averages!$U2+averages!$U2+1)), "")</f>
        <v/>
      </c>
      <c r="P2" t="str">
        <f>IFERROR(_xlfn.STDEV.S(INDEX(ipopt_output!P:P, (ROW()-2)*averages!$U2+2):INDEX(ipopt_output!P:P, (ROW()-2)*averages!$U2+averages!$U2+1)), "")</f>
        <v/>
      </c>
      <c r="Q2" t="str">
        <f>IFERROR(_xlfn.STDEV.S(INDEX(ipopt_output!Q:Q, (ROW()-2)*averages!$U2+2):INDEX(ipopt_output!Q:Q, (ROW()-2)*averages!$U2+averages!$U2+1)), "")</f>
        <v/>
      </c>
      <c r="R2">
        <f>IFERROR(_xlfn.STDEV.S(INDEX(ipopt_output!R:R, (ROW()-2)*averages!$U2+2):INDEX(ipopt_output!R:R, (ROW()-2)*averages!$U2+averages!$U2+1)), "")</f>
        <v>6.5278178781274274E-2</v>
      </c>
      <c r="S2">
        <f>IFERROR(_xlfn.STDEV.S(INDEX(ipopt_output!S:S, (ROW()-2)*averages!$U2+2):INDEX(ipopt_output!S:S, (ROW()-2)*averages!$U2+averages!$U2+1)), "")</f>
        <v>0</v>
      </c>
      <c r="T2">
        <f>IFERROR(_xlfn.STDEV.S(INDEX(ipopt_output!T:T, (ROW()-2)*averages!$U2+2):INDEX(ipopt_output!T:T, (ROW()-2)*averages!$U2+averages!$U2+1)), "")</f>
        <v>13847.342088526109</v>
      </c>
    </row>
    <row r="3" spans="1:20" x14ac:dyDescent="0.25">
      <c r="A3" t="str" cm="1">
        <f t="array" ref="A3">INDEX(ipopt_output!A:A, (ROW()-2)*averages!$U3+2)</f>
        <v>cart_pole_swing_col3_run</v>
      </c>
      <c r="B3" t="str" cm="1">
        <f t="array" ref="B3">INDEX(ipopt_output!B:B, (ROW()-2)*averages!$U3+2)</f>
        <v>Optimal Solution Found.</v>
      </c>
      <c r="C3">
        <f>IFERROR(_xlfn.STDEV.S(INDEX(ipopt_output!C:C, (ROW()-2)*averages!$U3+2):INDEX(ipopt_output!C:C, (ROW()-2)*averages!$U3+averages!$U3+1)), "")</f>
        <v>0</v>
      </c>
      <c r="D3">
        <f>IFERROR(_xlfn.STDEV.S(INDEX(ipopt_output!D:D, (ROW()-2)*averages!$U3+2):INDEX(ipopt_output!D:D, (ROW()-2)*averages!$U3+averages!$U3+1)), "")</f>
        <v>0</v>
      </c>
      <c r="E3">
        <f>IFERROR(_xlfn.STDEV.S(INDEX(ipopt_output!E:E, (ROW()-2)*averages!$U3+2):INDEX(ipopt_output!E:E, (ROW()-2)*averages!$U3+averages!$U3+1)), "")</f>
        <v>0</v>
      </c>
      <c r="F3">
        <f>IFERROR(_xlfn.STDEV.S(INDEX(ipopt_output!F:F, (ROW()-2)*averages!$U3+2):INDEX(ipopt_output!F:F, (ROW()-2)*averages!$U3+averages!$U3+1)), "")</f>
        <v>0</v>
      </c>
      <c r="G3">
        <f>IFERROR(_xlfn.STDEV.S(INDEX(ipopt_output!G:G, (ROW()-2)*averages!$U3+2):INDEX(ipopt_output!G:G, (ROW()-2)*averages!$U3+averages!$U3+1)), "")</f>
        <v>0</v>
      </c>
      <c r="H3">
        <f>IFERROR(_xlfn.STDEV.S(INDEX(ipopt_output!H:H, (ROW()-2)*averages!$U3+2):INDEX(ipopt_output!H:H, (ROW()-2)*averages!$U3+averages!$U3+1)), "")</f>
        <v>0</v>
      </c>
      <c r="I3">
        <f>IFERROR(_xlfn.STDEV.S(INDEX(ipopt_output!I:I, (ROW()-2)*averages!$U3+2):INDEX(ipopt_output!I:I, (ROW()-2)*averages!$U3+averages!$U3+1)), "")</f>
        <v>6.2553976692133723E-2</v>
      </c>
      <c r="J3">
        <f>IFERROR(_xlfn.STDEV.S(INDEX(ipopt_output!J:J, (ROW()-2)*averages!$U3+2):INDEX(ipopt_output!J:J, (ROW()-2)*averages!$U3+averages!$U3+1)), "")</f>
        <v>1.3662601021279476E-2</v>
      </c>
      <c r="K3" t="str">
        <f>IFERROR(_xlfn.STDEV.S(INDEX(ipopt_output!K:K, (ROW()-2)*averages!$U3+2):INDEX(ipopt_output!K:K, (ROW()-2)*averages!$U3+averages!$U3+1)), "")</f>
        <v/>
      </c>
      <c r="L3">
        <f>IFERROR(_xlfn.STDEV.S(INDEX(ipopt_output!L:L, (ROW()-2)*averages!$U3+2):INDEX(ipopt_output!L:L, (ROW()-2)*averages!$U3+averages!$U3+1)), "")</f>
        <v>3.7252986793005986E-3</v>
      </c>
      <c r="M3">
        <f>IFERROR(_xlfn.STDEV.S(INDEX(ipopt_output!M:M, (ROW()-2)*averages!$U3+2):INDEX(ipopt_output!M:M, (ROW()-2)*averages!$U3+averages!$U3+1)), "")</f>
        <v>7.7719329180927083E-2</v>
      </c>
      <c r="N3">
        <f>IFERROR(_xlfn.STDEV.S(INDEX(ipopt_output!N:N, (ROW()-2)*averages!$U3+2):INDEX(ipopt_output!N:N, (ROW()-2)*averages!$U3+averages!$U3+1)), "")</f>
        <v>0</v>
      </c>
      <c r="O3">
        <f>IFERROR(_xlfn.STDEV.S(INDEX(ipopt_output!O:O, (ROW()-2)*averages!$U3+2):INDEX(ipopt_output!O:O, (ROW()-2)*averages!$U3+averages!$U3+1)), "")</f>
        <v>0</v>
      </c>
      <c r="P3">
        <f>IFERROR(_xlfn.STDEV.S(INDEX(ipopt_output!P:P, (ROW()-2)*averages!$U3+2):INDEX(ipopt_output!P:P, (ROW()-2)*averages!$U3+averages!$U3+1)), "")</f>
        <v>0</v>
      </c>
      <c r="Q3">
        <f>IFERROR(_xlfn.STDEV.S(INDEX(ipopt_output!Q:Q, (ROW()-2)*averages!$U3+2):INDEX(ipopt_output!Q:Q, (ROW()-2)*averages!$U3+averages!$U3+1)), "")</f>
        <v>0</v>
      </c>
      <c r="R3">
        <f>IFERROR(_xlfn.STDEV.S(INDEX(ipopt_output!R:R, (ROW()-2)*averages!$U3+2):INDEX(ipopt_output!R:R, (ROW()-2)*averages!$U3+averages!$U3+1)), "")</f>
        <v>7.8273541293764612E-2</v>
      </c>
      <c r="S3">
        <f>IFERROR(_xlfn.STDEV.S(INDEX(ipopt_output!S:S, (ROW()-2)*averages!$U3+2):INDEX(ipopt_output!S:S, (ROW()-2)*averages!$U3+averages!$U3+1)), "")</f>
        <v>0</v>
      </c>
      <c r="T3">
        <f>IFERROR(_xlfn.STDEV.S(INDEX(ipopt_output!T:T, (ROW()-2)*averages!$U3+2):INDEX(ipopt_output!T:T, (ROW()-2)*averages!$U3+averages!$U3+1)), "")</f>
        <v>15420.054979906308</v>
      </c>
    </row>
    <row r="4" spans="1:20" x14ac:dyDescent="0.25">
      <c r="A4" t="str" cm="1">
        <f t="array" ref="A4">INDEX(ipopt_output!A:A, (ROW()-2)*averages!$U4+2)</f>
        <v>cart_pole_swing_rk1_py</v>
      </c>
      <c r="B4" t="str" cm="1">
        <f t="array" ref="B4">INDEX(ipopt_output!B:B, (ROW()-2)*averages!$U4+2)</f>
        <v>Optimal Solution Found.</v>
      </c>
      <c r="C4">
        <f>IFERROR(_xlfn.STDEV.S(INDEX(ipopt_output!C:C, (ROW()-2)*averages!$U4+2):INDEX(ipopt_output!C:C, (ROW()-2)*averages!$U4+averages!$U4+1)), "")</f>
        <v>0</v>
      </c>
      <c r="D4">
        <f>IFERROR(_xlfn.STDEV.S(INDEX(ipopt_output!D:D, (ROW()-2)*averages!$U4+2):INDEX(ipopt_output!D:D, (ROW()-2)*averages!$U4+averages!$U4+1)), "")</f>
        <v>0</v>
      </c>
      <c r="E4">
        <f>IFERROR(_xlfn.STDEV.S(INDEX(ipopt_output!E:E, (ROW()-2)*averages!$U4+2):INDEX(ipopt_output!E:E, (ROW()-2)*averages!$U4+averages!$U4+1)), "")</f>
        <v>0</v>
      </c>
      <c r="F4">
        <f>IFERROR(_xlfn.STDEV.S(INDEX(ipopt_output!F:F, (ROW()-2)*averages!$U4+2):INDEX(ipopt_output!F:F, (ROW()-2)*averages!$U4+averages!$U4+1)), "")</f>
        <v>0</v>
      </c>
      <c r="G4">
        <f>IFERROR(_xlfn.STDEV.S(INDEX(ipopt_output!G:G, (ROW()-2)*averages!$U4+2):INDEX(ipopt_output!G:G, (ROW()-2)*averages!$U4+averages!$U4+1)), "")</f>
        <v>0</v>
      </c>
      <c r="H4">
        <f>IFERROR(_xlfn.STDEV.S(INDEX(ipopt_output!H:H, (ROW()-2)*averages!$U4+2):INDEX(ipopt_output!H:H, (ROW()-2)*averages!$U4+averages!$U4+1)), "")</f>
        <v>0</v>
      </c>
      <c r="I4">
        <f>IFERROR(_xlfn.STDEV.S(INDEX(ipopt_output!I:I, (ROW()-2)*averages!$U4+2):INDEX(ipopt_output!I:I, (ROW()-2)*averages!$U4+averages!$U4+1)), "")</f>
        <v>2.3678400846904021E-2</v>
      </c>
      <c r="J4">
        <f>IFERROR(_xlfn.STDEV.S(INDEX(ipopt_output!J:J, (ROW()-2)*averages!$U4+2):INDEX(ipopt_output!J:J, (ROW()-2)*averages!$U4+averages!$U4+1)), "")</f>
        <v>3.9157800414902407E-3</v>
      </c>
      <c r="K4">
        <f>IFERROR(_xlfn.STDEV.S(INDEX(ipopt_output!K:K, (ROW()-2)*averages!$U4+2):INDEX(ipopt_output!K:K, (ROW()-2)*averages!$U4+averages!$U4+1)), "")</f>
        <v>2.2661026461952772E-2</v>
      </c>
      <c r="L4" t="str">
        <f>IFERROR(_xlfn.STDEV.S(INDEX(ipopt_output!L:L, (ROW()-2)*averages!$U4+2):INDEX(ipopt_output!L:L, (ROW()-2)*averages!$U4+averages!$U4+1)), "")</f>
        <v/>
      </c>
      <c r="M4" t="str">
        <f>IFERROR(_xlfn.STDEV.S(INDEX(ipopt_output!M:M, (ROW()-2)*averages!$U4+2):INDEX(ipopt_output!M:M, (ROW()-2)*averages!$U4+averages!$U4+1)), "")</f>
        <v/>
      </c>
      <c r="N4" t="str">
        <f>IFERROR(_xlfn.STDEV.S(INDEX(ipopt_output!N:N, (ROW()-2)*averages!$U4+2):INDEX(ipopt_output!N:N, (ROW()-2)*averages!$U4+averages!$U4+1)), "")</f>
        <v/>
      </c>
      <c r="O4" t="str">
        <f>IFERROR(_xlfn.STDEV.S(INDEX(ipopt_output!O:O, (ROW()-2)*averages!$U4+2):INDEX(ipopt_output!O:O, (ROW()-2)*averages!$U4+averages!$U4+1)), "")</f>
        <v/>
      </c>
      <c r="P4" t="str">
        <f>IFERROR(_xlfn.STDEV.S(INDEX(ipopt_output!P:P, (ROW()-2)*averages!$U4+2):INDEX(ipopt_output!P:P, (ROW()-2)*averages!$U4+averages!$U4+1)), "")</f>
        <v/>
      </c>
      <c r="Q4" t="str">
        <f>IFERROR(_xlfn.STDEV.S(INDEX(ipopt_output!Q:Q, (ROW()-2)*averages!$U4+2):INDEX(ipopt_output!Q:Q, (ROW()-2)*averages!$U4+averages!$U4+1)), "")</f>
        <v/>
      </c>
      <c r="R4">
        <f>IFERROR(_xlfn.STDEV.S(INDEX(ipopt_output!R:R, (ROW()-2)*averages!$U4+2):INDEX(ipopt_output!R:R, (ROW()-2)*averages!$U4+averages!$U4+1)), "")</f>
        <v>2.2661092206687675E-2</v>
      </c>
      <c r="S4">
        <f>IFERROR(_xlfn.STDEV.S(INDEX(ipopt_output!S:S, (ROW()-2)*averages!$U4+2):INDEX(ipopt_output!S:S, (ROW()-2)*averages!$U4+averages!$U4+1)), "")</f>
        <v>0</v>
      </c>
      <c r="T4">
        <f>IFERROR(_xlfn.STDEV.S(INDEX(ipopt_output!T:T, (ROW()-2)*averages!$U4+2):INDEX(ipopt_output!T:T, (ROW()-2)*averages!$U4+averages!$U4+1)), "")</f>
        <v>13847.342088526109</v>
      </c>
    </row>
    <row r="5" spans="1:20" x14ac:dyDescent="0.25">
      <c r="A5" t="str" cm="1">
        <f t="array" ref="A5">INDEX(ipopt_output!A:A, (ROW()-2)*averages!$U5+2)</f>
        <v>cart_pole_swing_rk1_run</v>
      </c>
      <c r="B5" t="str" cm="1">
        <f t="array" ref="B5">INDEX(ipopt_output!B:B, (ROW()-2)*averages!$U5+2)</f>
        <v>Optimal Solution Found.</v>
      </c>
      <c r="C5">
        <f>IFERROR(_xlfn.STDEV.S(INDEX(ipopt_output!C:C, (ROW()-2)*averages!$U5+2):INDEX(ipopt_output!C:C, (ROW()-2)*averages!$U5+averages!$U5+1)), "")</f>
        <v>0</v>
      </c>
      <c r="D5">
        <f>IFERROR(_xlfn.STDEV.S(INDEX(ipopt_output!D:D, (ROW()-2)*averages!$U5+2):INDEX(ipopt_output!D:D, (ROW()-2)*averages!$U5+averages!$U5+1)), "")</f>
        <v>0</v>
      </c>
      <c r="E5">
        <f>IFERROR(_xlfn.STDEV.S(INDEX(ipopt_output!E:E, (ROW()-2)*averages!$U5+2):INDEX(ipopt_output!E:E, (ROW()-2)*averages!$U5+averages!$U5+1)), "")</f>
        <v>0</v>
      </c>
      <c r="F5">
        <f>IFERROR(_xlfn.STDEV.S(INDEX(ipopt_output!F:F, (ROW()-2)*averages!$U5+2):INDEX(ipopt_output!F:F, (ROW()-2)*averages!$U5+averages!$U5+1)), "")</f>
        <v>0</v>
      </c>
      <c r="G5">
        <f>IFERROR(_xlfn.STDEV.S(INDEX(ipopt_output!G:G, (ROW()-2)*averages!$U5+2):INDEX(ipopt_output!G:G, (ROW()-2)*averages!$U5+averages!$U5+1)), "")</f>
        <v>0</v>
      </c>
      <c r="H5">
        <f>IFERROR(_xlfn.STDEV.S(INDEX(ipopt_output!H:H, (ROW()-2)*averages!$U5+2):INDEX(ipopt_output!H:H, (ROW()-2)*averages!$U5+averages!$U5+1)), "")</f>
        <v>0</v>
      </c>
      <c r="I5">
        <f>IFERROR(_xlfn.STDEV.S(INDEX(ipopt_output!I:I, (ROW()-2)*averages!$U5+2):INDEX(ipopt_output!I:I, (ROW()-2)*averages!$U5+averages!$U5+1)), "")</f>
        <v>2.7317576759295439E-2</v>
      </c>
      <c r="J5">
        <f>IFERROR(_xlfn.STDEV.S(INDEX(ipopt_output!J:J, (ROW()-2)*averages!$U5+2):INDEX(ipopt_output!J:J, (ROW()-2)*averages!$U5+averages!$U5+1)), "")</f>
        <v>1.0878112581387107E-2</v>
      </c>
      <c r="K5" t="str">
        <f>IFERROR(_xlfn.STDEV.S(INDEX(ipopt_output!K:K, (ROW()-2)*averages!$U5+2):INDEX(ipopt_output!K:K, (ROW()-2)*averages!$U5+averages!$U5+1)), "")</f>
        <v/>
      </c>
      <c r="L5">
        <f>IFERROR(_xlfn.STDEV.S(INDEX(ipopt_output!L:L, (ROW()-2)*averages!$U5+2):INDEX(ipopt_output!L:L, (ROW()-2)*averages!$U5+averages!$U5+1)), "")</f>
        <v>3.7579601182023922E-3</v>
      </c>
      <c r="M5">
        <f>IFERROR(_xlfn.STDEV.S(INDEX(ipopt_output!M:M, (ROW()-2)*averages!$U5+2):INDEX(ipopt_output!M:M, (ROW()-2)*averages!$U5+averages!$U5+1)), "")</f>
        <v>0.12734082691835336</v>
      </c>
      <c r="N5">
        <f>IFERROR(_xlfn.STDEV.S(INDEX(ipopt_output!N:N, (ROW()-2)*averages!$U5+2):INDEX(ipopt_output!N:N, (ROW()-2)*averages!$U5+averages!$U5+1)), "")</f>
        <v>0</v>
      </c>
      <c r="O5">
        <f>IFERROR(_xlfn.STDEV.S(INDEX(ipopt_output!O:O, (ROW()-2)*averages!$U5+2):INDEX(ipopt_output!O:O, (ROW()-2)*averages!$U5+averages!$U5+1)), "")</f>
        <v>0</v>
      </c>
      <c r="P5">
        <f>IFERROR(_xlfn.STDEV.S(INDEX(ipopt_output!P:P, (ROW()-2)*averages!$U5+2):INDEX(ipopt_output!P:P, (ROW()-2)*averages!$U5+averages!$U5+1)), "")</f>
        <v>0</v>
      </c>
      <c r="Q5">
        <f>IFERROR(_xlfn.STDEV.S(INDEX(ipopt_output!Q:Q, (ROW()-2)*averages!$U5+2):INDEX(ipopt_output!Q:Q, (ROW()-2)*averages!$U5+averages!$U5+1)), "")</f>
        <v>0</v>
      </c>
      <c r="R5">
        <f>IFERROR(_xlfn.STDEV.S(INDEX(ipopt_output!R:R, (ROW()-2)*averages!$U5+2):INDEX(ipopt_output!R:R, (ROW()-2)*averages!$U5+averages!$U5+1)), "")</f>
        <v>0.12876286136408541</v>
      </c>
      <c r="S5">
        <f>IFERROR(_xlfn.STDEV.S(INDEX(ipopt_output!S:S, (ROW()-2)*averages!$U5+2):INDEX(ipopt_output!S:S, (ROW()-2)*averages!$U5+averages!$U5+1)), "")</f>
        <v>0</v>
      </c>
      <c r="T5">
        <f>IFERROR(_xlfn.STDEV.S(INDEX(ipopt_output!T:T, (ROW()-2)*averages!$U5+2):INDEX(ipopt_output!T:T, (ROW()-2)*averages!$U5+averages!$U5+1)), "")</f>
        <v>15420.054979906308</v>
      </c>
    </row>
    <row r="6" spans="1:20" x14ac:dyDescent="0.25">
      <c r="A6" t="str" cm="1">
        <f t="array" ref="A6">INDEX(ipopt_output!A:A, (ROW()-2)*averages!$U6+2)</f>
        <v>cart_pole_swing_rk4_py</v>
      </c>
      <c r="B6" t="str" cm="1">
        <f t="array" ref="B6">INDEX(ipopt_output!B:B, (ROW()-2)*averages!$U6+2)</f>
        <v>Optimal Solution Found.</v>
      </c>
      <c r="C6">
        <f>IFERROR(_xlfn.STDEV.S(INDEX(ipopt_output!C:C, (ROW()-2)*averages!$U6+2):INDEX(ipopt_output!C:C, (ROW()-2)*averages!$U6+averages!$U6+1)), "")</f>
        <v>0</v>
      </c>
      <c r="D6">
        <f>IFERROR(_xlfn.STDEV.S(INDEX(ipopt_output!D:D, (ROW()-2)*averages!$U6+2):INDEX(ipopt_output!D:D, (ROW()-2)*averages!$U6+averages!$U6+1)), "")</f>
        <v>0</v>
      </c>
      <c r="E6">
        <f>IFERROR(_xlfn.STDEV.S(INDEX(ipopt_output!E:E, (ROW()-2)*averages!$U6+2):INDEX(ipopt_output!E:E, (ROW()-2)*averages!$U6+averages!$U6+1)), "")</f>
        <v>0</v>
      </c>
      <c r="F6">
        <f>IFERROR(_xlfn.STDEV.S(INDEX(ipopt_output!F:F, (ROW()-2)*averages!$U6+2):INDEX(ipopt_output!F:F, (ROW()-2)*averages!$U6+averages!$U6+1)), "")</f>
        <v>0</v>
      </c>
      <c r="G6">
        <f>IFERROR(_xlfn.STDEV.S(INDEX(ipopt_output!G:G, (ROW()-2)*averages!$U6+2):INDEX(ipopt_output!G:G, (ROW()-2)*averages!$U6+averages!$U6+1)), "")</f>
        <v>0</v>
      </c>
      <c r="H6">
        <f>IFERROR(_xlfn.STDEV.S(INDEX(ipopt_output!H:H, (ROW()-2)*averages!$U6+2):INDEX(ipopt_output!H:H, (ROW()-2)*averages!$U6+averages!$U6+1)), "")</f>
        <v>0</v>
      </c>
      <c r="I6">
        <f>IFERROR(_xlfn.STDEV.S(INDEX(ipopt_output!I:I, (ROW()-2)*averages!$U6+2):INDEX(ipopt_output!I:I, (ROW()-2)*averages!$U6+averages!$U6+1)), "")</f>
        <v>6.9522178715380762E-3</v>
      </c>
      <c r="J6">
        <f>IFERROR(_xlfn.STDEV.S(INDEX(ipopt_output!J:J, (ROW()-2)*averages!$U6+2):INDEX(ipopt_output!J:J, (ROW()-2)*averages!$U6+averages!$U6+1)), "")</f>
        <v>1.6329931618554478E-3</v>
      </c>
      <c r="K6">
        <f>IFERROR(_xlfn.STDEV.S(INDEX(ipopt_output!K:K, (ROW()-2)*averages!$U6+2):INDEX(ipopt_output!K:K, (ROW()-2)*averages!$U6+averages!$U6+1)), "")</f>
        <v>5.7332092331413759E-2</v>
      </c>
      <c r="L6" t="str">
        <f>IFERROR(_xlfn.STDEV.S(INDEX(ipopt_output!L:L, (ROW()-2)*averages!$U6+2):INDEX(ipopt_output!L:L, (ROW()-2)*averages!$U6+averages!$U6+1)), "")</f>
        <v/>
      </c>
      <c r="M6" t="str">
        <f>IFERROR(_xlfn.STDEV.S(INDEX(ipopt_output!M:M, (ROW()-2)*averages!$U6+2):INDEX(ipopt_output!M:M, (ROW()-2)*averages!$U6+averages!$U6+1)), "")</f>
        <v/>
      </c>
      <c r="N6" t="str">
        <f>IFERROR(_xlfn.STDEV.S(INDEX(ipopt_output!N:N, (ROW()-2)*averages!$U6+2):INDEX(ipopt_output!N:N, (ROW()-2)*averages!$U6+averages!$U6+1)), "")</f>
        <v/>
      </c>
      <c r="O6" t="str">
        <f>IFERROR(_xlfn.STDEV.S(INDEX(ipopt_output!O:O, (ROW()-2)*averages!$U6+2):INDEX(ipopt_output!O:O, (ROW()-2)*averages!$U6+averages!$U6+1)), "")</f>
        <v/>
      </c>
      <c r="P6" t="str">
        <f>IFERROR(_xlfn.STDEV.S(INDEX(ipopt_output!P:P, (ROW()-2)*averages!$U6+2):INDEX(ipopt_output!P:P, (ROW()-2)*averages!$U6+averages!$U6+1)), "")</f>
        <v/>
      </c>
      <c r="Q6" t="str">
        <f>IFERROR(_xlfn.STDEV.S(INDEX(ipopt_output!Q:Q, (ROW()-2)*averages!$U6+2):INDEX(ipopt_output!Q:Q, (ROW()-2)*averages!$U6+averages!$U6+1)), "")</f>
        <v/>
      </c>
      <c r="R6">
        <f>IFERROR(_xlfn.STDEV.S(INDEX(ipopt_output!R:R, (ROW()-2)*averages!$U6+2):INDEX(ipopt_output!R:R, (ROW()-2)*averages!$U6+averages!$U6+1)), "")</f>
        <v>5.7329562109496933E-2</v>
      </c>
      <c r="S6">
        <f>IFERROR(_xlfn.STDEV.S(INDEX(ipopt_output!S:S, (ROW()-2)*averages!$U6+2):INDEX(ipopt_output!S:S, (ROW()-2)*averages!$U6+averages!$U6+1)), "")</f>
        <v>0</v>
      </c>
      <c r="T6">
        <f>IFERROR(_xlfn.STDEV.S(INDEX(ipopt_output!T:T, (ROW()-2)*averages!$U6+2):INDEX(ipopt_output!T:T, (ROW()-2)*averages!$U6+averages!$U6+1)), "")</f>
        <v>13847.342088526109</v>
      </c>
    </row>
    <row r="7" spans="1:20" x14ac:dyDescent="0.25">
      <c r="A7" t="str" cm="1">
        <f t="array" ref="A7">INDEX(ipopt_output!A:A, (ROW()-2)*averages!$U7+2)</f>
        <v>cart_pole_swing_rk4_run</v>
      </c>
      <c r="B7" t="str" cm="1">
        <f t="array" ref="B7">INDEX(ipopt_output!B:B, (ROW()-2)*averages!$U7+2)</f>
        <v>Optimal Solution Found.</v>
      </c>
      <c r="C7">
        <f>IFERROR(_xlfn.STDEV.S(INDEX(ipopt_output!C:C, (ROW()-2)*averages!$U7+2):INDEX(ipopt_output!C:C, (ROW()-2)*averages!$U7+averages!$U7+1)), "")</f>
        <v>0</v>
      </c>
      <c r="D7">
        <f>IFERROR(_xlfn.STDEV.S(INDEX(ipopt_output!D:D, (ROW()-2)*averages!$U7+2):INDEX(ipopt_output!D:D, (ROW()-2)*averages!$U7+averages!$U7+1)), "")</f>
        <v>0</v>
      </c>
      <c r="E7">
        <f>IFERROR(_xlfn.STDEV.S(INDEX(ipopt_output!E:E, (ROW()-2)*averages!$U7+2):INDEX(ipopt_output!E:E, (ROW()-2)*averages!$U7+averages!$U7+1)), "")</f>
        <v>0</v>
      </c>
      <c r="F7">
        <f>IFERROR(_xlfn.STDEV.S(INDEX(ipopt_output!F:F, (ROW()-2)*averages!$U7+2):INDEX(ipopt_output!F:F, (ROW()-2)*averages!$U7+averages!$U7+1)), "")</f>
        <v>0</v>
      </c>
      <c r="G7">
        <f>IFERROR(_xlfn.STDEV.S(INDEX(ipopt_output!G:G, (ROW()-2)*averages!$U7+2):INDEX(ipopt_output!G:G, (ROW()-2)*averages!$U7+averages!$U7+1)), "")</f>
        <v>0</v>
      </c>
      <c r="H7">
        <f>IFERROR(_xlfn.STDEV.S(INDEX(ipopt_output!H:H, (ROW()-2)*averages!$U7+2):INDEX(ipopt_output!H:H, (ROW()-2)*averages!$U7+averages!$U7+1)), "")</f>
        <v>0</v>
      </c>
      <c r="I7">
        <f>IFERROR(_xlfn.STDEV.S(INDEX(ipopt_output!I:I, (ROW()-2)*averages!$U7+2):INDEX(ipopt_output!I:I, (ROW()-2)*averages!$U7+averages!$U7+1)), "")</f>
        <v>7.2403383898820714E-2</v>
      </c>
      <c r="J7">
        <f>IFERROR(_xlfn.STDEV.S(INDEX(ipopt_output!J:J, (ROW()-2)*averages!$U7+2):INDEX(ipopt_output!J:J, (ROW()-2)*averages!$U7+averages!$U7+1)), "")</f>
        <v>1.72916164657906E-2</v>
      </c>
      <c r="K7" t="str">
        <f>IFERROR(_xlfn.STDEV.S(INDEX(ipopt_output!K:K, (ROW()-2)*averages!$U7+2):INDEX(ipopt_output!K:K, (ROW()-2)*averages!$U7+averages!$U7+1)), "")</f>
        <v/>
      </c>
      <c r="L7">
        <f>IFERROR(_xlfn.STDEV.S(INDEX(ipopt_output!L:L, (ROW()-2)*averages!$U7+2):INDEX(ipopt_output!L:L, (ROW()-2)*averages!$U7+averages!$U7+1)), "")</f>
        <v>9.3260973438340417E-4</v>
      </c>
      <c r="M7">
        <f>IFERROR(_xlfn.STDEV.S(INDEX(ipopt_output!M:M, (ROW()-2)*averages!$U7+2):INDEX(ipopt_output!M:M, (ROW()-2)*averages!$U7+averages!$U7+1)), "")</f>
        <v>9.8834066597757925E-2</v>
      </c>
      <c r="N7">
        <f>IFERROR(_xlfn.STDEV.S(INDEX(ipopt_output!N:N, (ROW()-2)*averages!$U7+2):INDEX(ipopt_output!N:N, (ROW()-2)*averages!$U7+averages!$U7+1)), "")</f>
        <v>0</v>
      </c>
      <c r="O7">
        <f>IFERROR(_xlfn.STDEV.S(INDEX(ipopt_output!O:O, (ROW()-2)*averages!$U7+2):INDEX(ipopt_output!O:O, (ROW()-2)*averages!$U7+averages!$U7+1)), "")</f>
        <v>0</v>
      </c>
      <c r="P7">
        <f>IFERROR(_xlfn.STDEV.S(INDEX(ipopt_output!P:P, (ROW()-2)*averages!$U7+2):INDEX(ipopt_output!P:P, (ROW()-2)*averages!$U7+averages!$U7+1)), "")</f>
        <v>0</v>
      </c>
      <c r="Q7">
        <f>IFERROR(_xlfn.STDEV.S(INDEX(ipopt_output!Q:Q, (ROW()-2)*averages!$U7+2):INDEX(ipopt_output!Q:Q, (ROW()-2)*averages!$U7+averages!$U7+1)), "")</f>
        <v>0</v>
      </c>
      <c r="R7">
        <f>IFERROR(_xlfn.STDEV.S(INDEX(ipopt_output!R:R, (ROW()-2)*averages!$U7+2):INDEX(ipopt_output!R:R, (ROW()-2)*averages!$U7+averages!$U7+1)), "")</f>
        <v>9.9253167665655215E-2</v>
      </c>
      <c r="S7">
        <f>IFERROR(_xlfn.STDEV.S(INDEX(ipopt_output!S:S, (ROW()-2)*averages!$U7+2):INDEX(ipopt_output!S:S, (ROW()-2)*averages!$U7+averages!$U7+1)), "")</f>
        <v>0</v>
      </c>
      <c r="T7">
        <f>IFERROR(_xlfn.STDEV.S(INDEX(ipopt_output!T:T, (ROW()-2)*averages!$U7+2):INDEX(ipopt_output!T:T, (ROW()-2)*averages!$U7+averages!$U7+1)), "")</f>
        <v>15420.054979906308</v>
      </c>
    </row>
    <row r="8" spans="1:20" x14ac:dyDescent="0.25">
      <c r="A8" t="str" cm="1">
        <f t="array" ref="A8">INDEX(ipopt_output!A:A, (ROW()-2)*averages!$U8+2)</f>
        <v>spot_jump_twist_col3_py</v>
      </c>
      <c r="B8" t="str" cm="1">
        <f t="array" ref="B8">INDEX(ipopt_output!B:B, (ROW()-2)*averages!$U8+2)</f>
        <v>Converged to a point of local infeasibility. Problem may be infeasible.</v>
      </c>
      <c r="C8">
        <f>IFERROR(_xlfn.STDEV.S(INDEX(ipopt_output!C:C, (ROW()-2)*averages!$U8+2):INDEX(ipopt_output!C:C, (ROW()-2)*averages!$U8+averages!$U8+1)), "")</f>
        <v>0</v>
      </c>
      <c r="D8">
        <f>IFERROR(_xlfn.STDEV.S(INDEX(ipopt_output!D:D, (ROW()-2)*averages!$U8+2):INDEX(ipopt_output!D:D, (ROW()-2)*averages!$U8+averages!$U8+1)), "")</f>
        <v>0</v>
      </c>
      <c r="E8">
        <f>IFERROR(_xlfn.STDEV.S(INDEX(ipopt_output!E:E, (ROW()-2)*averages!$U8+2):INDEX(ipopt_output!E:E, (ROW()-2)*averages!$U8+averages!$U8+1)), "")</f>
        <v>0</v>
      </c>
      <c r="F8">
        <f>IFERROR(_xlfn.STDEV.S(INDEX(ipopt_output!F:F, (ROW()-2)*averages!$U8+2):INDEX(ipopt_output!F:F, (ROW()-2)*averages!$U8+averages!$U8+1)), "")</f>
        <v>0</v>
      </c>
      <c r="G8">
        <f>IFERROR(_xlfn.STDEV.S(INDEX(ipopt_output!G:G, (ROW()-2)*averages!$U8+2):INDEX(ipopt_output!G:G, (ROW()-2)*averages!$U8+averages!$U8+1)), "")</f>
        <v>0</v>
      </c>
      <c r="H8">
        <f>IFERROR(_xlfn.STDEV.S(INDEX(ipopt_output!H:H, (ROW()-2)*averages!$U8+2):INDEX(ipopt_output!H:H, (ROW()-2)*averages!$U8+averages!$U8+1)), "")</f>
        <v>0</v>
      </c>
      <c r="I8">
        <f>IFERROR(_xlfn.STDEV.S(INDEX(ipopt_output!I:I, (ROW()-2)*averages!$U8+2):INDEX(ipopt_output!I:I, (ROW()-2)*averages!$U8+averages!$U8+1)), "")</f>
        <v>0.66271411634278676</v>
      </c>
      <c r="J8">
        <f>IFERROR(_xlfn.STDEV.S(INDEX(ipopt_output!J:J, (ROW()-2)*averages!$U8+2):INDEX(ipopt_output!J:J, (ROW()-2)*averages!$U8+averages!$U8+1)), "")</f>
        <v>0.21162762107059682</v>
      </c>
      <c r="K8">
        <f>IFERROR(_xlfn.STDEV.S(INDEX(ipopt_output!K:K, (ROW()-2)*averages!$U8+2):INDEX(ipopt_output!K:K, (ROW()-2)*averages!$U8+averages!$U8+1)), "")</f>
        <v>3.2688934563075875</v>
      </c>
      <c r="L8" t="str">
        <f>IFERROR(_xlfn.STDEV.S(INDEX(ipopt_output!L:L, (ROW()-2)*averages!$U8+2):INDEX(ipopt_output!L:L, (ROW()-2)*averages!$U8+averages!$U8+1)), "")</f>
        <v/>
      </c>
      <c r="M8" t="str">
        <f>IFERROR(_xlfn.STDEV.S(INDEX(ipopt_output!M:M, (ROW()-2)*averages!$U8+2):INDEX(ipopt_output!M:M, (ROW()-2)*averages!$U8+averages!$U8+1)), "")</f>
        <v/>
      </c>
      <c r="N8" t="str">
        <f>IFERROR(_xlfn.STDEV.S(INDEX(ipopt_output!N:N, (ROW()-2)*averages!$U8+2):INDEX(ipopt_output!N:N, (ROW()-2)*averages!$U8+averages!$U8+1)), "")</f>
        <v/>
      </c>
      <c r="O8" t="str">
        <f>IFERROR(_xlfn.STDEV.S(INDEX(ipopt_output!O:O, (ROW()-2)*averages!$U8+2):INDEX(ipopt_output!O:O, (ROW()-2)*averages!$U8+averages!$U8+1)), "")</f>
        <v/>
      </c>
      <c r="P8" t="str">
        <f>IFERROR(_xlfn.STDEV.S(INDEX(ipopt_output!P:P, (ROW()-2)*averages!$U8+2):INDEX(ipopt_output!P:P, (ROW()-2)*averages!$U8+averages!$U8+1)), "")</f>
        <v/>
      </c>
      <c r="Q8" t="str">
        <f>IFERROR(_xlfn.STDEV.S(INDEX(ipopt_output!Q:Q, (ROW()-2)*averages!$U8+2):INDEX(ipopt_output!Q:Q, (ROW()-2)*averages!$U8+averages!$U8+1)), "")</f>
        <v/>
      </c>
      <c r="R8">
        <f>IFERROR(_xlfn.STDEV.S(INDEX(ipopt_output!R:R, (ROW()-2)*averages!$U8+2):INDEX(ipopt_output!R:R, (ROW()-2)*averages!$U8+averages!$U8+1)), "")</f>
        <v>3.2688593831284138</v>
      </c>
      <c r="S8">
        <f>IFERROR(_xlfn.STDEV.S(INDEX(ipopt_output!S:S, (ROW()-2)*averages!$U8+2):INDEX(ipopt_output!S:S, (ROW()-2)*averages!$U8+averages!$U8+1)), "")</f>
        <v>0</v>
      </c>
      <c r="T8">
        <f>IFERROR(_xlfn.STDEV.S(INDEX(ipopt_output!T:T, (ROW()-2)*averages!$U8+2):INDEX(ipopt_output!T:T, (ROW()-2)*averages!$U8+averages!$U8+1)), "")</f>
        <v>13847.342088526109</v>
      </c>
    </row>
    <row r="9" spans="1:20" x14ac:dyDescent="0.25">
      <c r="A9" t="str" cm="1">
        <f t="array" ref="A9">INDEX(ipopt_output!A:A, (ROW()-2)*averages!$U9+2)</f>
        <v>spot_jump_twist_col3_run</v>
      </c>
      <c r="B9" t="str" cm="1">
        <f t="array" ref="B9">INDEX(ipopt_output!B:B, (ROW()-2)*averages!$U9+2)</f>
        <v>Optimal Solution Found.</v>
      </c>
      <c r="C9">
        <f>IFERROR(_xlfn.STDEV.S(INDEX(ipopt_output!C:C, (ROW()-2)*averages!$U9+2):INDEX(ipopt_output!C:C, (ROW()-2)*averages!$U9+averages!$U9+1)), "")</f>
        <v>0</v>
      </c>
      <c r="D9">
        <f>IFERROR(_xlfn.STDEV.S(INDEX(ipopt_output!D:D, (ROW()-2)*averages!$U9+2):INDEX(ipopt_output!D:D, (ROW()-2)*averages!$U9+averages!$U9+1)), "")</f>
        <v>0</v>
      </c>
      <c r="E9">
        <f>IFERROR(_xlfn.STDEV.S(INDEX(ipopt_output!E:E, (ROW()-2)*averages!$U9+2):INDEX(ipopt_output!E:E, (ROW()-2)*averages!$U9+averages!$U9+1)), "")</f>
        <v>0</v>
      </c>
      <c r="F9">
        <f>IFERROR(_xlfn.STDEV.S(INDEX(ipopt_output!F:F, (ROW()-2)*averages!$U9+2):INDEX(ipopt_output!F:F, (ROW()-2)*averages!$U9+averages!$U9+1)), "")</f>
        <v>0</v>
      </c>
      <c r="G9">
        <f>IFERROR(_xlfn.STDEV.S(INDEX(ipopt_output!G:G, (ROW()-2)*averages!$U9+2):INDEX(ipopt_output!G:G, (ROW()-2)*averages!$U9+averages!$U9+1)), "")</f>
        <v>0</v>
      </c>
      <c r="H9">
        <f>IFERROR(_xlfn.STDEV.S(INDEX(ipopt_output!H:H, (ROW()-2)*averages!$U9+2):INDEX(ipopt_output!H:H, (ROW()-2)*averages!$U9+averages!$U9+1)), "")</f>
        <v>0</v>
      </c>
      <c r="I9">
        <f>IFERROR(_xlfn.STDEV.S(INDEX(ipopt_output!I:I, (ROW()-2)*averages!$U9+2):INDEX(ipopt_output!I:I, (ROW()-2)*averages!$U9+averages!$U9+1)), "")</f>
        <v>3.6439954720059666</v>
      </c>
      <c r="J9">
        <f>IFERROR(_xlfn.STDEV.S(INDEX(ipopt_output!J:J, (ROW()-2)*averages!$U9+2):INDEX(ipopt_output!J:J, (ROW()-2)*averages!$U9+averages!$U9+1)), "")</f>
        <v>8.6723015976152702</v>
      </c>
      <c r="K9" t="str">
        <f>IFERROR(_xlfn.STDEV.S(INDEX(ipopt_output!K:K, (ROW()-2)*averages!$U9+2):INDEX(ipopt_output!K:K, (ROW()-2)*averages!$U9+averages!$U9+1)), "")</f>
        <v/>
      </c>
      <c r="L9">
        <f>IFERROR(_xlfn.STDEV.S(INDEX(ipopt_output!L:L, (ROW()-2)*averages!$U9+2):INDEX(ipopt_output!L:L, (ROW()-2)*averages!$U9+averages!$U9+1)), "")</f>
        <v>5.9523712963103104E-2</v>
      </c>
      <c r="M9">
        <f>IFERROR(_xlfn.STDEV.S(INDEX(ipopt_output!M:M, (ROW()-2)*averages!$U9+2):INDEX(ipopt_output!M:M, (ROW()-2)*averages!$U9+averages!$U9+1)), "")</f>
        <v>17.316903226781719</v>
      </c>
      <c r="N9">
        <f>IFERROR(_xlfn.STDEV.S(INDEX(ipopt_output!N:N, (ROW()-2)*averages!$U9+2):INDEX(ipopt_output!N:N, (ROW()-2)*averages!$U9+averages!$U9+1)), "")</f>
        <v>0</v>
      </c>
      <c r="O9">
        <f>IFERROR(_xlfn.STDEV.S(INDEX(ipopt_output!O:O, (ROW()-2)*averages!$U9+2):INDEX(ipopt_output!O:O, (ROW()-2)*averages!$U9+averages!$U9+1)), "")</f>
        <v>0</v>
      </c>
      <c r="P9">
        <f>IFERROR(_xlfn.STDEV.S(INDEX(ipopt_output!P:P, (ROW()-2)*averages!$U9+2):INDEX(ipopt_output!P:P, (ROW()-2)*averages!$U9+averages!$U9+1)), "")</f>
        <v>0</v>
      </c>
      <c r="Q9">
        <f>IFERROR(_xlfn.STDEV.S(INDEX(ipopt_output!Q:Q, (ROW()-2)*averages!$U9+2):INDEX(ipopt_output!Q:Q, (ROW()-2)*averages!$U9+averages!$U9+1)), "")</f>
        <v>0</v>
      </c>
      <c r="R9">
        <f>IFERROR(_xlfn.STDEV.S(INDEX(ipopt_output!R:R, (ROW()-2)*averages!$U9+2):INDEX(ipopt_output!R:R, (ROW()-2)*averages!$U9+averages!$U9+1)), "")</f>
        <v>17.326367620383284</v>
      </c>
      <c r="S9">
        <f>IFERROR(_xlfn.STDEV.S(INDEX(ipopt_output!S:S, (ROW()-2)*averages!$U9+2):INDEX(ipopt_output!S:S, (ROW()-2)*averages!$U9+averages!$U9+1)), "")</f>
        <v>0</v>
      </c>
      <c r="T9">
        <f>IFERROR(_xlfn.STDEV.S(INDEX(ipopt_output!T:T, (ROW()-2)*averages!$U9+2):INDEX(ipopt_output!T:T, (ROW()-2)*averages!$U9+averages!$U9+1)), "")</f>
        <v>15420.054979906308</v>
      </c>
    </row>
    <row r="10" spans="1:20" x14ac:dyDescent="0.25">
      <c r="A10" t="str" cm="1">
        <f t="array" ref="A10">INDEX(ipopt_output!A:A, (ROW()-2)*averages!$U10+2)</f>
        <v>spot_jump_twist_rk1_py</v>
      </c>
      <c r="B10" t="str" cm="1">
        <f t="array" ref="B10">INDEX(ipopt_output!B:B, (ROW()-2)*averages!$U10+2)</f>
        <v>Converged to a point of local infeasibility. Problem may be infeasible.</v>
      </c>
      <c r="C10">
        <f>IFERROR(_xlfn.STDEV.S(INDEX(ipopt_output!C:C, (ROW()-2)*averages!$U10+2):INDEX(ipopt_output!C:C, (ROW()-2)*averages!$U10+averages!$U10+1)), "")</f>
        <v>0</v>
      </c>
      <c r="D10">
        <f>IFERROR(_xlfn.STDEV.S(INDEX(ipopt_output!D:D, (ROW()-2)*averages!$U10+2):INDEX(ipopt_output!D:D, (ROW()-2)*averages!$U10+averages!$U10+1)), "")</f>
        <v>0</v>
      </c>
      <c r="E10">
        <f>IFERROR(_xlfn.STDEV.S(INDEX(ipopt_output!E:E, (ROW()-2)*averages!$U10+2):INDEX(ipopt_output!E:E, (ROW()-2)*averages!$U10+averages!$U10+1)), "")</f>
        <v>0</v>
      </c>
      <c r="F10">
        <f>IFERROR(_xlfn.STDEV.S(INDEX(ipopt_output!F:F, (ROW()-2)*averages!$U10+2):INDEX(ipopt_output!F:F, (ROW()-2)*averages!$U10+averages!$U10+1)), "")</f>
        <v>0</v>
      </c>
      <c r="G10">
        <f>IFERROR(_xlfn.STDEV.S(INDEX(ipopt_output!G:G, (ROW()-2)*averages!$U10+2):INDEX(ipopt_output!G:G, (ROW()-2)*averages!$U10+averages!$U10+1)), "")</f>
        <v>0</v>
      </c>
      <c r="H10">
        <f>IFERROR(_xlfn.STDEV.S(INDEX(ipopt_output!H:H, (ROW()-2)*averages!$U10+2):INDEX(ipopt_output!H:H, (ROW()-2)*averages!$U10+averages!$U10+1)), "")</f>
        <v>0</v>
      </c>
      <c r="I10">
        <f>IFERROR(_xlfn.STDEV.S(INDEX(ipopt_output!I:I, (ROW()-2)*averages!$U10+2):INDEX(ipopt_output!I:I, (ROW()-2)*averages!$U10+averages!$U10+1)), "")</f>
        <v>0.78483416507352877</v>
      </c>
      <c r="J10">
        <f>IFERROR(_xlfn.STDEV.S(INDEX(ipopt_output!J:J, (ROW()-2)*averages!$U10+2):INDEX(ipopt_output!J:J, (ROW()-2)*averages!$U10+averages!$U10+1)), "")</f>
        <v>0.14125243360735412</v>
      </c>
      <c r="K10">
        <f>IFERROR(_xlfn.STDEV.S(INDEX(ipopt_output!K:K, (ROW()-2)*averages!$U10+2):INDEX(ipopt_output!K:K, (ROW()-2)*averages!$U10+averages!$U10+1)), "")</f>
        <v>2.9984498708752341</v>
      </c>
      <c r="L10" t="str">
        <f>IFERROR(_xlfn.STDEV.S(INDEX(ipopt_output!L:L, (ROW()-2)*averages!$U10+2):INDEX(ipopt_output!L:L, (ROW()-2)*averages!$U10+averages!$U10+1)), "")</f>
        <v/>
      </c>
      <c r="M10" t="str">
        <f>IFERROR(_xlfn.STDEV.S(INDEX(ipopt_output!M:M, (ROW()-2)*averages!$U10+2):INDEX(ipopt_output!M:M, (ROW()-2)*averages!$U10+averages!$U10+1)), "")</f>
        <v/>
      </c>
      <c r="N10" t="str">
        <f>IFERROR(_xlfn.STDEV.S(INDEX(ipopt_output!N:N, (ROW()-2)*averages!$U10+2):INDEX(ipopt_output!N:N, (ROW()-2)*averages!$U10+averages!$U10+1)), "")</f>
        <v/>
      </c>
      <c r="O10" t="str">
        <f>IFERROR(_xlfn.STDEV.S(INDEX(ipopt_output!O:O, (ROW()-2)*averages!$U10+2):INDEX(ipopt_output!O:O, (ROW()-2)*averages!$U10+averages!$U10+1)), "")</f>
        <v/>
      </c>
      <c r="P10" t="str">
        <f>IFERROR(_xlfn.STDEV.S(INDEX(ipopt_output!P:P, (ROW()-2)*averages!$U10+2):INDEX(ipopt_output!P:P, (ROW()-2)*averages!$U10+averages!$U10+1)), "")</f>
        <v/>
      </c>
      <c r="Q10" t="str">
        <f>IFERROR(_xlfn.STDEV.S(INDEX(ipopt_output!Q:Q, (ROW()-2)*averages!$U10+2):INDEX(ipopt_output!Q:Q, (ROW()-2)*averages!$U10+averages!$U10+1)), "")</f>
        <v/>
      </c>
      <c r="R10">
        <f>IFERROR(_xlfn.STDEV.S(INDEX(ipopt_output!R:R, (ROW()-2)*averages!$U10+2):INDEX(ipopt_output!R:R, (ROW()-2)*averages!$U10+averages!$U10+1)), "")</f>
        <v>2.9982916663771517</v>
      </c>
      <c r="S10">
        <f>IFERROR(_xlfn.STDEV.S(INDEX(ipopt_output!S:S, (ROW()-2)*averages!$U10+2):INDEX(ipopt_output!S:S, (ROW()-2)*averages!$U10+averages!$U10+1)), "")</f>
        <v>0</v>
      </c>
      <c r="T10">
        <f>IFERROR(_xlfn.STDEV.S(INDEX(ipopt_output!T:T, (ROW()-2)*averages!$U10+2):INDEX(ipopt_output!T:T, (ROW()-2)*averages!$U10+averages!$U10+1)), "")</f>
        <v>13847.342088526109</v>
      </c>
    </row>
    <row r="11" spans="1:20" x14ac:dyDescent="0.25">
      <c r="A11" t="str" cm="1">
        <f t="array" ref="A11">INDEX(ipopt_output!A:A, (ROW()-2)*averages!$U11+2)</f>
        <v>spot_jump_twist_rk1_run</v>
      </c>
      <c r="B11" t="str" cm="1">
        <f t="array" ref="B11">INDEX(ipopt_output!B:B, (ROW()-2)*averages!$U11+2)</f>
        <v>Optimal Solution Found.</v>
      </c>
      <c r="C11">
        <f>IFERROR(_xlfn.STDEV.S(INDEX(ipopt_output!C:C, (ROW()-2)*averages!$U11+2):INDEX(ipopt_output!C:C, (ROW()-2)*averages!$U11+averages!$U11+1)), "")</f>
        <v>0</v>
      </c>
      <c r="D11">
        <f>IFERROR(_xlfn.STDEV.S(INDEX(ipopt_output!D:D, (ROW()-2)*averages!$U11+2):INDEX(ipopt_output!D:D, (ROW()-2)*averages!$U11+averages!$U11+1)), "")</f>
        <v>0</v>
      </c>
      <c r="E11">
        <f>IFERROR(_xlfn.STDEV.S(INDEX(ipopt_output!E:E, (ROW()-2)*averages!$U11+2):INDEX(ipopt_output!E:E, (ROW()-2)*averages!$U11+averages!$U11+1)), "")</f>
        <v>0</v>
      </c>
      <c r="F11">
        <f>IFERROR(_xlfn.STDEV.S(INDEX(ipopt_output!F:F, (ROW()-2)*averages!$U11+2):INDEX(ipopt_output!F:F, (ROW()-2)*averages!$U11+averages!$U11+1)), "")</f>
        <v>0</v>
      </c>
      <c r="G11">
        <f>IFERROR(_xlfn.STDEV.S(INDEX(ipopt_output!G:G, (ROW()-2)*averages!$U11+2):INDEX(ipopt_output!G:G, (ROW()-2)*averages!$U11+averages!$U11+1)), "")</f>
        <v>0</v>
      </c>
      <c r="H11">
        <f>IFERROR(_xlfn.STDEV.S(INDEX(ipopt_output!H:H, (ROW()-2)*averages!$U11+2):INDEX(ipopt_output!H:H, (ROW()-2)*averages!$U11+averages!$U11+1)), "")</f>
        <v>0</v>
      </c>
      <c r="I11">
        <f>IFERROR(_xlfn.STDEV.S(INDEX(ipopt_output!I:I, (ROW()-2)*averages!$U11+2):INDEX(ipopt_output!I:I, (ROW()-2)*averages!$U11+averages!$U11+1)), "")</f>
        <v>0.19555988000268931</v>
      </c>
      <c r="J11">
        <f>IFERROR(_xlfn.STDEV.S(INDEX(ipopt_output!J:J, (ROW()-2)*averages!$U11+2):INDEX(ipopt_output!J:J, (ROW()-2)*averages!$U11+averages!$U11+1)), "")</f>
        <v>3.6022632122042353</v>
      </c>
      <c r="K11" t="str">
        <f>IFERROR(_xlfn.STDEV.S(INDEX(ipopt_output!K:K, (ROW()-2)*averages!$U11+2):INDEX(ipopt_output!K:K, (ROW()-2)*averages!$U11+averages!$U11+1)), "")</f>
        <v/>
      </c>
      <c r="L11">
        <f>IFERROR(_xlfn.STDEV.S(INDEX(ipopt_output!L:L, (ROW()-2)*averages!$U11+2):INDEX(ipopt_output!L:L, (ROW()-2)*averages!$U11+averages!$U11+1)), "")</f>
        <v>2.1100380018301793E-2</v>
      </c>
      <c r="M11">
        <f>IFERROR(_xlfn.STDEV.S(INDEX(ipopt_output!M:M, (ROW()-2)*averages!$U11+2):INDEX(ipopt_output!M:M, (ROW()-2)*averages!$U11+averages!$U11+1)), "")</f>
        <v>4.0504804673599049</v>
      </c>
      <c r="N11">
        <f>IFERROR(_xlfn.STDEV.S(INDEX(ipopt_output!N:N, (ROW()-2)*averages!$U11+2):INDEX(ipopt_output!N:N, (ROW()-2)*averages!$U11+averages!$U11+1)), "")</f>
        <v>0</v>
      </c>
      <c r="O11">
        <f>IFERROR(_xlfn.STDEV.S(INDEX(ipopt_output!O:O, (ROW()-2)*averages!$U11+2):INDEX(ipopt_output!O:O, (ROW()-2)*averages!$U11+averages!$U11+1)), "")</f>
        <v>0</v>
      </c>
      <c r="P11">
        <f>IFERROR(_xlfn.STDEV.S(INDEX(ipopt_output!P:P, (ROW()-2)*averages!$U11+2):INDEX(ipopt_output!P:P, (ROW()-2)*averages!$U11+averages!$U11+1)), "")</f>
        <v>0</v>
      </c>
      <c r="Q11">
        <f>IFERROR(_xlfn.STDEV.S(INDEX(ipopt_output!Q:Q, (ROW()-2)*averages!$U11+2):INDEX(ipopt_output!Q:Q, (ROW()-2)*averages!$U11+averages!$U11+1)), "")</f>
        <v>0</v>
      </c>
      <c r="R11">
        <f>IFERROR(_xlfn.STDEV.S(INDEX(ipopt_output!R:R, (ROW()-2)*averages!$U11+2):INDEX(ipopt_output!R:R, (ROW()-2)*averages!$U11+averages!$U11+1)), "")</f>
        <v>4.0537119100893158</v>
      </c>
      <c r="S11">
        <f>IFERROR(_xlfn.STDEV.S(INDEX(ipopt_output!S:S, (ROW()-2)*averages!$U11+2):INDEX(ipopt_output!S:S, (ROW()-2)*averages!$U11+averages!$U11+1)), "")</f>
        <v>0</v>
      </c>
      <c r="T11">
        <f>IFERROR(_xlfn.STDEV.S(INDEX(ipopt_output!T:T, (ROW()-2)*averages!$U11+2):INDEX(ipopt_output!T:T, (ROW()-2)*averages!$U11+averages!$U11+1)), "")</f>
        <v>15420.054979906308</v>
      </c>
    </row>
    <row r="12" spans="1:20" x14ac:dyDescent="0.25">
      <c r="A12" t="str" cm="1">
        <f t="array" ref="A12">INDEX(ipopt_output!A:A, (ROW()-2)*averages!$U12+2)</f>
        <v>spot_jump_twist_rk4_py</v>
      </c>
      <c r="B12" t="str" cm="1">
        <f t="array" ref="B12">INDEX(ipopt_output!B:B, (ROW()-2)*averages!$U12+2)</f>
        <v>Optimal Solution Found.</v>
      </c>
      <c r="C12">
        <f>IFERROR(_xlfn.STDEV.S(INDEX(ipopt_output!C:C, (ROW()-2)*averages!$U12+2):INDEX(ipopt_output!C:C, (ROW()-2)*averages!$U12+averages!$U12+1)), "")</f>
        <v>0</v>
      </c>
      <c r="D12">
        <f>IFERROR(_xlfn.STDEV.S(INDEX(ipopt_output!D:D, (ROW()-2)*averages!$U12+2):INDEX(ipopt_output!D:D, (ROW()-2)*averages!$U12+averages!$U12+1)), "")</f>
        <v>0</v>
      </c>
      <c r="E12">
        <f>IFERROR(_xlfn.STDEV.S(INDEX(ipopt_output!E:E, (ROW()-2)*averages!$U12+2):INDEX(ipopt_output!E:E, (ROW()-2)*averages!$U12+averages!$U12+1)), "")</f>
        <v>0</v>
      </c>
      <c r="F12">
        <f>IFERROR(_xlfn.STDEV.S(INDEX(ipopt_output!F:F, (ROW()-2)*averages!$U12+2):INDEX(ipopt_output!F:F, (ROW()-2)*averages!$U12+averages!$U12+1)), "")</f>
        <v>0</v>
      </c>
      <c r="G12">
        <f>IFERROR(_xlfn.STDEV.S(INDEX(ipopt_output!G:G, (ROW()-2)*averages!$U12+2):INDEX(ipopt_output!G:G, (ROW()-2)*averages!$U12+averages!$U12+1)), "")</f>
        <v>0</v>
      </c>
      <c r="H12">
        <f>IFERROR(_xlfn.STDEV.S(INDEX(ipopt_output!H:H, (ROW()-2)*averages!$U12+2):INDEX(ipopt_output!H:H, (ROW()-2)*averages!$U12+averages!$U12+1)), "")</f>
        <v>0</v>
      </c>
      <c r="I12">
        <f>IFERROR(_xlfn.STDEV.S(INDEX(ipopt_output!I:I, (ROW()-2)*averages!$U12+2):INDEX(ipopt_output!I:I, (ROW()-2)*averages!$U12+averages!$U12+1)), "")</f>
        <v>7.2454583475904208E-2</v>
      </c>
      <c r="J12">
        <f>IFERROR(_xlfn.STDEV.S(INDEX(ipopt_output!J:J, (ROW()-2)*averages!$U12+2):INDEX(ipopt_output!J:J, (ROW()-2)*averages!$U12+averages!$U12+1)), "")</f>
        <v>3.837859646556447E-2</v>
      </c>
      <c r="K12">
        <f>IFERROR(_xlfn.STDEV.S(INDEX(ipopt_output!K:K, (ROW()-2)*averages!$U12+2):INDEX(ipopt_output!K:K, (ROW()-2)*averages!$U12+averages!$U12+1)), "")</f>
        <v>0.66405731605064477</v>
      </c>
      <c r="L12" t="str">
        <f>IFERROR(_xlfn.STDEV.S(INDEX(ipopt_output!L:L, (ROW()-2)*averages!$U12+2):INDEX(ipopt_output!L:L, (ROW()-2)*averages!$U12+averages!$U12+1)), "")</f>
        <v/>
      </c>
      <c r="M12" t="str">
        <f>IFERROR(_xlfn.STDEV.S(INDEX(ipopt_output!M:M, (ROW()-2)*averages!$U12+2):INDEX(ipopt_output!M:M, (ROW()-2)*averages!$U12+averages!$U12+1)), "")</f>
        <v/>
      </c>
      <c r="N12" t="str">
        <f>IFERROR(_xlfn.STDEV.S(INDEX(ipopt_output!N:N, (ROW()-2)*averages!$U12+2):INDEX(ipopt_output!N:N, (ROW()-2)*averages!$U12+averages!$U12+1)), "")</f>
        <v/>
      </c>
      <c r="O12" t="str">
        <f>IFERROR(_xlfn.STDEV.S(INDEX(ipopt_output!O:O, (ROW()-2)*averages!$U12+2):INDEX(ipopt_output!O:O, (ROW()-2)*averages!$U12+averages!$U12+1)), "")</f>
        <v/>
      </c>
      <c r="P12" t="str">
        <f>IFERROR(_xlfn.STDEV.S(INDEX(ipopt_output!P:P, (ROW()-2)*averages!$U12+2):INDEX(ipopt_output!P:P, (ROW()-2)*averages!$U12+averages!$U12+1)), "")</f>
        <v/>
      </c>
      <c r="Q12" t="str">
        <f>IFERROR(_xlfn.STDEV.S(INDEX(ipopt_output!Q:Q, (ROW()-2)*averages!$U12+2):INDEX(ipopt_output!Q:Q, (ROW()-2)*averages!$U12+averages!$U12+1)), "")</f>
        <v/>
      </c>
      <c r="R12">
        <f>IFERROR(_xlfn.STDEV.S(INDEX(ipopt_output!R:R, (ROW()-2)*averages!$U12+2):INDEX(ipopt_output!R:R, (ROW()-2)*averages!$U12+averages!$U12+1)), "")</f>
        <v>0.66405196772039998</v>
      </c>
      <c r="S12">
        <f>IFERROR(_xlfn.STDEV.S(INDEX(ipopt_output!S:S, (ROW()-2)*averages!$U12+2):INDEX(ipopt_output!S:S, (ROW()-2)*averages!$U12+averages!$U12+1)), "")</f>
        <v>0</v>
      </c>
      <c r="T12">
        <f>IFERROR(_xlfn.STDEV.S(INDEX(ipopt_output!T:T, (ROW()-2)*averages!$U12+2):INDEX(ipopt_output!T:T, (ROW()-2)*averages!$U12+averages!$U12+1)), "")</f>
        <v>13847.342088526109</v>
      </c>
    </row>
    <row r="13" spans="1:20" x14ac:dyDescent="0.25">
      <c r="A13" t="str" cm="1">
        <f t="array" ref="A13">INDEX(ipopt_output!A:A, (ROW()-2)*averages!$U13+2)</f>
        <v>spot_jump_twist_rk4_run</v>
      </c>
      <c r="B13" t="str" cm="1">
        <f t="array" ref="B13">INDEX(ipopt_output!B:B, (ROW()-2)*averages!$U13+2)</f>
        <v>Optimal Solution Found.</v>
      </c>
      <c r="C13">
        <f>IFERROR(_xlfn.STDEV.S(INDEX(ipopt_output!C:C, (ROW()-2)*averages!$U13+2):INDEX(ipopt_output!C:C, (ROW()-2)*averages!$U13+averages!$U13+1)), "")</f>
        <v>0</v>
      </c>
      <c r="D13">
        <f>IFERROR(_xlfn.STDEV.S(INDEX(ipopt_output!D:D, (ROW()-2)*averages!$U13+2):INDEX(ipopt_output!D:D, (ROW()-2)*averages!$U13+averages!$U13+1)), "")</f>
        <v>0</v>
      </c>
      <c r="E13">
        <f>IFERROR(_xlfn.STDEV.S(INDEX(ipopt_output!E:E, (ROW()-2)*averages!$U13+2):INDEX(ipopt_output!E:E, (ROW()-2)*averages!$U13+averages!$U13+1)), "")</f>
        <v>0</v>
      </c>
      <c r="F13">
        <f>IFERROR(_xlfn.STDEV.S(INDEX(ipopt_output!F:F, (ROW()-2)*averages!$U13+2):INDEX(ipopt_output!F:F, (ROW()-2)*averages!$U13+averages!$U13+1)), "")</f>
        <v>0</v>
      </c>
      <c r="G13">
        <f>IFERROR(_xlfn.STDEV.S(INDEX(ipopt_output!G:G, (ROW()-2)*averages!$U13+2):INDEX(ipopt_output!G:G, (ROW()-2)*averages!$U13+averages!$U13+1)), "")</f>
        <v>0</v>
      </c>
      <c r="H13">
        <f>IFERROR(_xlfn.STDEV.S(INDEX(ipopt_output!H:H, (ROW()-2)*averages!$U13+2):INDEX(ipopt_output!H:H, (ROW()-2)*averages!$U13+averages!$U13+1)), "")</f>
        <v>0</v>
      </c>
      <c r="I13">
        <f>IFERROR(_xlfn.STDEV.S(INDEX(ipopt_output!I:I, (ROW()-2)*averages!$U13+2):INDEX(ipopt_output!I:I, (ROW()-2)*averages!$U13+averages!$U13+1)), "")</f>
        <v>0.26814051042939047</v>
      </c>
      <c r="J13">
        <f>IFERROR(_xlfn.STDEV.S(INDEX(ipopt_output!J:J, (ROW()-2)*averages!$U13+2):INDEX(ipopt_output!J:J, (ROW()-2)*averages!$U13+averages!$U13+1)), "")</f>
        <v>3.1787876095560321</v>
      </c>
      <c r="K13" t="str">
        <f>IFERROR(_xlfn.STDEV.S(INDEX(ipopt_output!K:K, (ROW()-2)*averages!$U13+2):INDEX(ipopt_output!K:K, (ROW()-2)*averages!$U13+averages!$U13+1)), "")</f>
        <v/>
      </c>
      <c r="L13">
        <f>IFERROR(_xlfn.STDEV.S(INDEX(ipopt_output!L:L, (ROW()-2)*averages!$U13+2):INDEX(ipopt_output!L:L, (ROW()-2)*averages!$U13+averages!$U13+1)), "")</f>
        <v>9.4012438671238711E-3</v>
      </c>
      <c r="M13">
        <f>IFERROR(_xlfn.STDEV.S(INDEX(ipopt_output!M:M, (ROW()-2)*averages!$U13+2):INDEX(ipopt_output!M:M, (ROW()-2)*averages!$U13+averages!$U13+1)), "")</f>
        <v>3.899994639709234</v>
      </c>
      <c r="N13">
        <f>IFERROR(_xlfn.STDEV.S(INDEX(ipopt_output!N:N, (ROW()-2)*averages!$U13+2):INDEX(ipopt_output!N:N, (ROW()-2)*averages!$U13+averages!$U13+1)), "")</f>
        <v>0</v>
      </c>
      <c r="O13">
        <f>IFERROR(_xlfn.STDEV.S(INDEX(ipopt_output!O:O, (ROW()-2)*averages!$U13+2):INDEX(ipopt_output!O:O, (ROW()-2)*averages!$U13+averages!$U13+1)), "")</f>
        <v>0</v>
      </c>
      <c r="P13">
        <f>IFERROR(_xlfn.STDEV.S(INDEX(ipopt_output!P:P, (ROW()-2)*averages!$U13+2):INDEX(ipopt_output!P:P, (ROW()-2)*averages!$U13+averages!$U13+1)), "")</f>
        <v>0</v>
      </c>
      <c r="Q13">
        <f>IFERROR(_xlfn.STDEV.S(INDEX(ipopt_output!Q:Q, (ROW()-2)*averages!$U13+2):INDEX(ipopt_output!Q:Q, (ROW()-2)*averages!$U13+averages!$U13+1)), "")</f>
        <v>0</v>
      </c>
      <c r="R13">
        <f>IFERROR(_xlfn.STDEV.S(INDEX(ipopt_output!R:R, (ROW()-2)*averages!$U13+2):INDEX(ipopt_output!R:R, (ROW()-2)*averages!$U13+averages!$U13+1)), "")</f>
        <v>3.9014789823860436</v>
      </c>
      <c r="S13">
        <f>IFERROR(_xlfn.STDEV.S(INDEX(ipopt_output!S:S, (ROW()-2)*averages!$U13+2):INDEX(ipopt_output!S:S, (ROW()-2)*averages!$U13+averages!$U13+1)), "")</f>
        <v>0</v>
      </c>
      <c r="T13">
        <f>IFERROR(_xlfn.STDEV.S(INDEX(ipopt_output!T:T, (ROW()-2)*averages!$U13+2):INDEX(ipopt_output!T:T, (ROW()-2)*averages!$U13+averages!$U13+1)), "")</f>
        <v>15420.054979906308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3F5E-D816-42EF-BB38-36F4137B25B1}">
  <dimension ref="A1:A2"/>
  <sheetViews>
    <sheetView workbookViewId="0">
      <selection activeCell="A2" sqref="A2"/>
    </sheetView>
  </sheetViews>
  <sheetFormatPr defaultRowHeight="15" x14ac:dyDescent="0.25"/>
  <cols>
    <col min="1" max="1" width="79.42578125" bestFit="1" customWidth="1"/>
  </cols>
  <sheetData>
    <row r="1" spans="1:1" ht="30" x14ac:dyDescent="0.25">
      <c r="A1" s="1" t="s">
        <v>1</v>
      </c>
    </row>
    <row r="2" spans="1:1" x14ac:dyDescent="0.25">
      <c r="A2" t="str" cm="1">
        <f t="array" aca="1" ref="A2" ca="1">LEFT(CELL("filename"),FIND("[",CELL("filename"))-1)</f>
        <v>C:\Users\nr\Documents\Sync\IIT\Research Papers\MECC 2026\repo\docker\ipopt_runs_submission\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08364-2C97-4E78-971E-767024B05A5B}">
  <dimension ref="A1:K13"/>
  <sheetViews>
    <sheetView tabSelected="1" zoomScale="230" zoomScaleNormal="230" workbookViewId="0"/>
  </sheetViews>
  <sheetFormatPr defaultRowHeight="15" x14ac:dyDescent="0.25"/>
  <cols>
    <col min="1" max="1" width="15.140625" bestFit="1" customWidth="1"/>
    <col min="2" max="2" width="5.7109375" bestFit="1" customWidth="1"/>
    <col min="3" max="3" width="5" bestFit="1" customWidth="1"/>
    <col min="4" max="4" width="12.5703125" bestFit="1" customWidth="1"/>
    <col min="5" max="5" width="10.42578125" bestFit="1" customWidth="1"/>
    <col min="6" max="6" width="9.42578125" bestFit="1" customWidth="1"/>
    <col min="7" max="7" width="10.42578125" bestFit="1" customWidth="1"/>
    <col min="8" max="8" width="9.42578125" bestFit="1" customWidth="1"/>
    <col min="9" max="9" width="10.42578125" bestFit="1" customWidth="1"/>
    <col min="10" max="10" width="12.140625" bestFit="1" customWidth="1"/>
    <col min="11" max="11" width="12.5703125" bestFit="1" customWidth="1"/>
  </cols>
  <sheetData>
    <row r="1" spans="1:1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  <row r="2" spans="1:11" x14ac:dyDescent="0.25">
      <c r="A2" s="3" t="s">
        <v>13</v>
      </c>
      <c r="B2" s="3" t="s">
        <v>14</v>
      </c>
      <c r="C2" t="s">
        <v>15</v>
      </c>
      <c r="D2">
        <f>averages!G2</f>
        <v>1583.338999162766</v>
      </c>
      <c r="E2">
        <f>averages!R2</f>
        <v>1.9838425000000002</v>
      </c>
      <c r="F2">
        <f>averages!F2</f>
        <v>371</v>
      </c>
      <c r="G2">
        <f>averages!J2</f>
        <v>0.14125000000000001</v>
      </c>
      <c r="H2">
        <f>averages!C2</f>
        <v>900</v>
      </c>
      <c r="I2">
        <f>averages!D2</f>
        <v>853</v>
      </c>
      <c r="J2">
        <f>averages!E2</f>
        <v>50</v>
      </c>
    </row>
    <row r="3" spans="1:11" x14ac:dyDescent="0.25">
      <c r="A3" s="3"/>
      <c r="B3" s="3"/>
      <c r="C3" t="s">
        <v>16</v>
      </c>
      <c r="D3">
        <f>averages!G3</f>
        <v>1921.3975853618256</v>
      </c>
      <c r="E3">
        <f>averages!R3</f>
        <v>4.1206700000000005</v>
      </c>
      <c r="F3">
        <f>averages!F3</f>
        <v>409</v>
      </c>
      <c r="G3">
        <f>averages!J3</f>
        <v>0.72899999999999998</v>
      </c>
      <c r="H3">
        <f>averages!C3</f>
        <v>1197</v>
      </c>
      <c r="I3">
        <f>averages!D3</f>
        <v>1150</v>
      </c>
      <c r="J3">
        <f>averages!E3</f>
        <v>50</v>
      </c>
      <c r="K3">
        <f>(averages!N3-averages!O3)/averages!N3</f>
        <v>0.93745754741627041</v>
      </c>
    </row>
    <row r="4" spans="1:11" x14ac:dyDescent="0.25">
      <c r="A4" s="3"/>
      <c r="B4" s="3" t="s">
        <v>17</v>
      </c>
      <c r="C4" t="s">
        <v>15</v>
      </c>
      <c r="D4">
        <f>averages!G4</f>
        <v>1583.3389991627485</v>
      </c>
      <c r="E4">
        <f>averages!R4</f>
        <v>1.1868050000000001</v>
      </c>
      <c r="F4">
        <f>averages!F4</f>
        <v>371</v>
      </c>
      <c r="G4">
        <f>averages!J4</f>
        <v>8.6999999999999994E-2</v>
      </c>
      <c r="H4">
        <f>averages!C4</f>
        <v>300</v>
      </c>
      <c r="I4">
        <f>averages!D4</f>
        <v>253</v>
      </c>
      <c r="J4">
        <f>averages!E4</f>
        <v>50</v>
      </c>
    </row>
    <row r="5" spans="1:11" x14ac:dyDescent="0.25">
      <c r="A5" s="3"/>
      <c r="B5" s="3"/>
      <c r="C5" t="s">
        <v>16</v>
      </c>
      <c r="D5">
        <f>averages!G5</f>
        <v>1583.3389991627482</v>
      </c>
      <c r="E5">
        <f>averages!R5</f>
        <v>2.0641799999999999</v>
      </c>
      <c r="F5">
        <f>averages!F5</f>
        <v>371</v>
      </c>
      <c r="G5">
        <f>averages!J5</f>
        <v>0.5704999999999999</v>
      </c>
      <c r="H5">
        <f>averages!C5</f>
        <v>295</v>
      </c>
      <c r="I5">
        <f>averages!D5</f>
        <v>248</v>
      </c>
      <c r="J5">
        <f>averages!E5</f>
        <v>50</v>
      </c>
      <c r="K5">
        <f>(averages!N5-averages!O5)/averages!N5</f>
        <v>0.98253300965125234</v>
      </c>
    </row>
    <row r="6" spans="1:11" x14ac:dyDescent="0.25">
      <c r="A6" s="3"/>
      <c r="B6" s="3" t="s">
        <v>18</v>
      </c>
      <c r="C6" t="s">
        <v>15</v>
      </c>
      <c r="D6">
        <f>averages!G6</f>
        <v>1921.397585361809</v>
      </c>
      <c r="E6">
        <f>averages!R6</f>
        <v>1.2900225000000001</v>
      </c>
      <c r="F6">
        <f>averages!F6</f>
        <v>411</v>
      </c>
      <c r="G6">
        <f>averages!J6</f>
        <v>0.10300000000000001</v>
      </c>
      <c r="H6">
        <f>averages!C6</f>
        <v>300</v>
      </c>
      <c r="I6">
        <f>averages!D6</f>
        <v>253</v>
      </c>
      <c r="J6">
        <f>averages!E6</f>
        <v>50</v>
      </c>
    </row>
    <row r="7" spans="1:11" x14ac:dyDescent="0.25">
      <c r="A7" s="3"/>
      <c r="B7" s="3"/>
      <c r="C7" t="s">
        <v>16</v>
      </c>
      <c r="D7">
        <f>averages!G7</f>
        <v>1921.397585361826</v>
      </c>
      <c r="E7">
        <f>averages!R7</f>
        <v>4.4675075</v>
      </c>
      <c r="F7">
        <f>averages!F7</f>
        <v>409</v>
      </c>
      <c r="G7">
        <f>averages!J7</f>
        <v>0.72249999999999992</v>
      </c>
      <c r="H7">
        <f>averages!C7</f>
        <v>1195</v>
      </c>
      <c r="I7">
        <f>averages!D7</f>
        <v>1148</v>
      </c>
      <c r="J7">
        <f>averages!E7</f>
        <v>50</v>
      </c>
      <c r="K7">
        <f>(averages!N7-averages!O7)/averages!N7</f>
        <v>0.93756204608391247</v>
      </c>
    </row>
    <row r="8" spans="1:11" x14ac:dyDescent="0.25">
      <c r="A8" s="3" t="s">
        <v>19</v>
      </c>
      <c r="B8" s="3" t="s">
        <v>14</v>
      </c>
      <c r="C8" t="s">
        <v>15</v>
      </c>
      <c r="D8" s="2" t="s">
        <v>20</v>
      </c>
      <c r="E8" s="2" t="s">
        <v>20</v>
      </c>
      <c r="F8" s="2" t="s">
        <v>20</v>
      </c>
      <c r="G8" s="2" t="s">
        <v>20</v>
      </c>
      <c r="H8" s="2" t="s">
        <v>20</v>
      </c>
      <c r="I8" s="2" t="s">
        <v>20</v>
      </c>
      <c r="J8" s="2" t="s">
        <v>20</v>
      </c>
    </row>
    <row r="9" spans="1:11" x14ac:dyDescent="0.25">
      <c r="A9" s="3"/>
      <c r="B9" s="3"/>
      <c r="C9" t="s">
        <v>16</v>
      </c>
      <c r="D9">
        <f>averages!G9</f>
        <v>55592.036459183291</v>
      </c>
      <c r="E9">
        <f>averages!R9</f>
        <v>879.67325000000005</v>
      </c>
      <c r="F9">
        <f>averages!F9</f>
        <v>208</v>
      </c>
      <c r="G9">
        <f>averages!J9</f>
        <v>600.79250000000002</v>
      </c>
      <c r="H9">
        <f>averages!C9</f>
        <v>12454</v>
      </c>
      <c r="I9">
        <f>averages!D9</f>
        <v>11828</v>
      </c>
      <c r="J9">
        <f>averages!E9</f>
        <v>1080</v>
      </c>
      <c r="K9">
        <f>(averages!N9-averages!O9)/averages!N9</f>
        <v>0.95972381676180007</v>
      </c>
    </row>
    <row r="10" spans="1:11" x14ac:dyDescent="0.25">
      <c r="A10" s="3"/>
      <c r="B10" s="3" t="s">
        <v>17</v>
      </c>
      <c r="C10" t="s">
        <v>15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</row>
    <row r="11" spans="1:11" x14ac:dyDescent="0.25">
      <c r="A11" s="3"/>
      <c r="B11" s="3"/>
      <c r="C11" t="s">
        <v>16</v>
      </c>
      <c r="D11">
        <f>averages!G11</f>
        <v>14277.068949341028</v>
      </c>
      <c r="E11">
        <f>averages!R11</f>
        <v>470.21875</v>
      </c>
      <c r="F11">
        <f>averages!F11</f>
        <v>146</v>
      </c>
      <c r="G11">
        <f>averages!J11</f>
        <v>421.62725</v>
      </c>
      <c r="H11">
        <f>averages!C11</f>
        <v>3106</v>
      </c>
      <c r="I11">
        <f>averages!D11</f>
        <v>2480</v>
      </c>
      <c r="J11">
        <f>averages!E11</f>
        <v>1080</v>
      </c>
      <c r="K11">
        <f>(averages!N11-averages!O11)/averages!N11</f>
        <v>0.9892289286147764</v>
      </c>
    </row>
    <row r="12" spans="1:11" x14ac:dyDescent="0.25">
      <c r="A12" s="3"/>
      <c r="B12" s="3" t="s">
        <v>18</v>
      </c>
      <c r="C12" t="s">
        <v>15</v>
      </c>
      <c r="D12">
        <f>averages!G12</f>
        <v>13127.374891315938</v>
      </c>
      <c r="E12">
        <f>averages!R12</f>
        <v>66.521974999999998</v>
      </c>
      <c r="F12">
        <f>averages!F12</f>
        <v>330</v>
      </c>
      <c r="G12">
        <f>averages!J12</f>
        <v>11.438750000000001</v>
      </c>
      <c r="H12">
        <f>averages!C12</f>
        <v>3400</v>
      </c>
      <c r="I12">
        <f>averages!D12</f>
        <v>2787</v>
      </c>
      <c r="J12">
        <f>averages!E12</f>
        <v>1180</v>
      </c>
    </row>
    <row r="13" spans="1:11" x14ac:dyDescent="0.25">
      <c r="A13" s="3"/>
      <c r="B13" s="3"/>
      <c r="C13" t="s">
        <v>16</v>
      </c>
      <c r="D13">
        <f>averages!G13</f>
        <v>55595.282261664579</v>
      </c>
      <c r="E13">
        <f>averages!R13</f>
        <v>634.88075000000003</v>
      </c>
      <c r="F13">
        <f>averages!F13</f>
        <v>189</v>
      </c>
      <c r="G13">
        <f>averages!J13</f>
        <v>556.81299999999999</v>
      </c>
      <c r="H13">
        <f>averages!C13</f>
        <v>12436</v>
      </c>
      <c r="I13">
        <f>averages!D13</f>
        <v>11810</v>
      </c>
      <c r="J13">
        <f>averages!E13</f>
        <v>1080</v>
      </c>
      <c r="K13">
        <f>(averages!N13-averages!O13)/averages!N13</f>
        <v>0.95978202868554241</v>
      </c>
    </row>
  </sheetData>
  <mergeCells count="8">
    <mergeCell ref="A2:A7"/>
    <mergeCell ref="B2:B3"/>
    <mergeCell ref="B4:B5"/>
    <mergeCell ref="B6:B7"/>
    <mergeCell ref="A8:A13"/>
    <mergeCell ref="B8:B9"/>
    <mergeCell ref="B10:B11"/>
    <mergeCell ref="B12:B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D44D66-A883-4D6B-A2F1-938F4E6209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ipopt_output</vt:lpstr>
      <vt:lpstr>averages</vt:lpstr>
      <vt:lpstr>std. dev</vt:lpstr>
      <vt:lpstr>csv</vt:lpstr>
      <vt:lpstr>paper_table</vt:lpstr>
      <vt:lpstr>CSVPath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Rosa</cp:lastModifiedBy>
  <dcterms:created xsi:type="dcterms:W3CDTF">2026-04-25T03:22:11Z</dcterms:created>
  <dcterms:modified xsi:type="dcterms:W3CDTF">2026-04-26T19:22:52Z</dcterms:modified>
</cp:coreProperties>
</file>